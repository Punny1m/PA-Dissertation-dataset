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ef2d194797e50ac/Documents/Class/.Fall 2025^Mdissertation/"/>
    </mc:Choice>
  </mc:AlternateContent>
  <xr:revisionPtr revIDLastSave="926" documentId="8_{4E416476-13B9-4ED2-BDA3-2590DAC9DB60}" xr6:coauthVersionLast="47" xr6:coauthVersionMax="47" xr10:uidLastSave="{6B307968-A91A-4BF1-9F8D-22A7F1CA5592}"/>
  <bookViews>
    <workbookView xWindow="-120" yWindow="-120" windowWidth="29040" windowHeight="15720" xr2:uid="{B9CE1C04-7FB1-4BE9-9732-2483A5906939}"/>
  </bookViews>
  <sheets>
    <sheet name="dataset2s1" sheetId="1" r:id="rId1"/>
  </sheets>
  <definedNames>
    <definedName name="correctness">dataset2s1!$G$2:$G$631</definedName>
    <definedName name="Difficulty">dataset2s1!$B$2:$B$631</definedName>
    <definedName name="puzzleType">dataset2s1!$C$2:$C$631</definedName>
    <definedName name="weirdRange">dataset2s1!$G$638,dataset2s1!$G$611:$G$616,dataset2s1!$G$621:$G$624,dataset2s1!$G$627:$G$631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33" i="1" l="1"/>
  <c r="C638" i="1"/>
  <c r="C639" i="1"/>
  <c r="C640" i="1"/>
  <c r="C641" i="1"/>
  <c r="B639" i="1"/>
  <c r="B640" i="1"/>
  <c r="B641" i="1"/>
  <c r="B638" i="1"/>
  <c r="G644" i="1"/>
  <c r="G645" i="1"/>
  <c r="G646" i="1"/>
  <c r="G643" i="1"/>
  <c r="G639" i="1"/>
  <c r="G640" i="1"/>
  <c r="G641" i="1"/>
  <c r="G638" i="1"/>
  <c r="C634" i="1"/>
  <c r="C635" i="1"/>
  <c r="C636" i="1"/>
  <c r="C633" i="1"/>
  <c r="B634" i="1"/>
  <c r="B635" i="1"/>
  <c r="B636" i="1"/>
  <c r="B633" i="1"/>
  <c r="I634" i="1"/>
  <c r="H634" i="1"/>
  <c r="I633" i="1"/>
  <c r="H633" i="1"/>
  <c r="G633" i="1"/>
  <c r="AB23" i="1" a="1"/>
  <c r="AB23" i="1" s="1"/>
  <c r="AC26" i="1" a="1"/>
  <c r="AC26" i="1" s="1"/>
  <c r="AD29" i="1" a="1"/>
  <c r="AD29" i="1" s="1"/>
  <c r="AE32" i="1" a="1"/>
  <c r="AE32" i="1" s="1"/>
  <c r="AF35" i="1" a="1"/>
  <c r="AF35" i="1" s="1"/>
  <c r="AG38" i="1" a="1"/>
  <c r="AG38" i="1" s="1"/>
  <c r="AH41" i="1" a="1"/>
  <c r="AH41" i="1" s="1"/>
  <c r="AB44" i="1" a="1"/>
  <c r="AB44" i="1" s="1"/>
  <c r="AC47" i="1" a="1"/>
  <c r="AC47" i="1" s="1"/>
  <c r="AD50" i="1" a="1"/>
  <c r="AD50" i="1" s="1"/>
  <c r="AE53" i="1" a="1"/>
  <c r="AE53" i="1" s="1"/>
  <c r="AF56" i="1" a="1"/>
  <c r="AF56" i="1" s="1"/>
  <c r="AG59" i="1" a="1"/>
  <c r="AG59" i="1" s="1"/>
  <c r="AH62" i="1" a="1"/>
  <c r="AH62" i="1" s="1"/>
  <c r="AB65" i="1" a="1"/>
  <c r="AB65" i="1" s="1"/>
  <c r="AC68" i="1" a="1"/>
  <c r="AC68" i="1" s="1"/>
  <c r="AD71" i="1" a="1"/>
  <c r="AD71" i="1" s="1"/>
  <c r="AE74" i="1" a="1"/>
  <c r="AE74" i="1" s="1"/>
  <c r="AF77" i="1" a="1"/>
  <c r="AF77" i="1" s="1"/>
  <c r="AG80" i="1" a="1"/>
  <c r="AG80" i="1" s="1"/>
  <c r="AH83" i="1" a="1"/>
  <c r="AH83" i="1" s="1"/>
  <c r="AB86" i="1" a="1"/>
  <c r="AB86" i="1" s="1"/>
  <c r="AC89" i="1" a="1"/>
  <c r="AC89" i="1" s="1"/>
  <c r="AD92" i="1" a="1"/>
  <c r="AD92" i="1" s="1"/>
  <c r="AE95" i="1" a="1"/>
  <c r="AE95" i="1" s="1"/>
  <c r="AF98" i="1" a="1"/>
  <c r="AF98" i="1" s="1"/>
  <c r="AG101" i="1" a="1"/>
  <c r="AG101" i="1" s="1"/>
  <c r="AH104" i="1" a="1"/>
  <c r="AH104" i="1" s="1"/>
  <c r="AB107" i="1" a="1"/>
  <c r="AB107" i="1" s="1"/>
  <c r="AC110" i="1" a="1"/>
  <c r="AC110" i="1" s="1"/>
  <c r="AD113" i="1" a="1"/>
  <c r="AD113" i="1" s="1"/>
  <c r="AE116" i="1" a="1"/>
  <c r="AE116" i="1"/>
  <c r="AF119" i="1" a="1"/>
  <c r="AF119" i="1" s="1"/>
  <c r="AG122" i="1" a="1"/>
  <c r="AG122" i="1" s="1"/>
  <c r="AH125" i="1" a="1"/>
  <c r="AH125" i="1" s="1"/>
  <c r="AB128" i="1" a="1"/>
  <c r="AB128" i="1" s="1"/>
  <c r="AC131" i="1" a="1"/>
  <c r="AC131" i="1" s="1"/>
  <c r="AD134" i="1" a="1"/>
  <c r="AD134" i="1" s="1"/>
  <c r="AE137" i="1" a="1"/>
  <c r="AE137" i="1" s="1"/>
  <c r="AF140" i="1" a="1"/>
  <c r="AF140" i="1"/>
  <c r="AG143" i="1" a="1"/>
  <c r="AG143" i="1" s="1"/>
  <c r="AH146" i="1" a="1"/>
  <c r="AH146" i="1" s="1"/>
  <c r="AB149" i="1" a="1"/>
  <c r="AB149" i="1" s="1"/>
  <c r="AC152" i="1" a="1"/>
  <c r="AC152" i="1" s="1"/>
  <c r="AD155" i="1" a="1"/>
  <c r="AD155" i="1" s="1"/>
  <c r="AE158" i="1" a="1"/>
  <c r="AE158" i="1" s="1"/>
  <c r="AF161" i="1" a="1"/>
  <c r="AF161" i="1" s="1"/>
  <c r="AG164" i="1" a="1"/>
  <c r="AG164" i="1" s="1"/>
  <c r="AH167" i="1" a="1"/>
  <c r="AH167" i="1" s="1"/>
  <c r="AB170" i="1" a="1"/>
  <c r="AB170" i="1" s="1"/>
  <c r="AC173" i="1" a="1"/>
  <c r="AC173" i="1" s="1"/>
  <c r="AD176" i="1" a="1"/>
  <c r="AD176" i="1" s="1"/>
  <c r="AE179" i="1" a="1"/>
  <c r="AE179" i="1" s="1"/>
  <c r="AF182" i="1" a="1"/>
  <c r="AF182" i="1" s="1"/>
  <c r="AG185" i="1" a="1"/>
  <c r="AG185" i="1" s="1"/>
  <c r="AH188" i="1" a="1"/>
  <c r="AH188" i="1" s="1"/>
  <c r="AB191" i="1" a="1"/>
  <c r="AB191" i="1" s="1"/>
  <c r="AC194" i="1" a="1"/>
  <c r="AC194" i="1" s="1"/>
  <c r="AD197" i="1" a="1"/>
  <c r="AD197" i="1" s="1"/>
  <c r="AE200" i="1" a="1"/>
  <c r="AE200" i="1" s="1"/>
  <c r="AF203" i="1" a="1"/>
  <c r="AF203" i="1" s="1"/>
  <c r="AG206" i="1" a="1"/>
  <c r="AG206" i="1" s="1"/>
  <c r="AH209" i="1" a="1"/>
  <c r="AH209" i="1" s="1"/>
  <c r="AB212" i="1" a="1"/>
  <c r="AB212" i="1" s="1"/>
  <c r="AC215" i="1" a="1"/>
  <c r="AC215" i="1" s="1"/>
  <c r="AD218" i="1" a="1"/>
  <c r="AD218" i="1" s="1"/>
  <c r="AE221" i="1" a="1"/>
  <c r="AE221" i="1" s="1"/>
  <c r="AF224" i="1" a="1"/>
  <c r="AF224" i="1" s="1"/>
  <c r="AG227" i="1" a="1"/>
  <c r="AG227" i="1" s="1"/>
  <c r="AH230" i="1" a="1"/>
  <c r="AH230" i="1" s="1"/>
  <c r="AB233" i="1" a="1"/>
  <c r="AB233" i="1" s="1"/>
  <c r="AC236" i="1" a="1"/>
  <c r="AC236" i="1" s="1"/>
  <c r="AD239" i="1" a="1"/>
  <c r="AD239" i="1" s="1"/>
  <c r="AE242" i="1" a="1"/>
  <c r="AE242" i="1" s="1"/>
  <c r="AF245" i="1" a="1"/>
  <c r="AF245" i="1" s="1"/>
  <c r="AG248" i="1" a="1"/>
  <c r="AG248" i="1" s="1"/>
  <c r="AH251" i="1" a="1"/>
  <c r="AH251" i="1" s="1"/>
  <c r="AB254" i="1" a="1"/>
  <c r="AB254" i="1" s="1"/>
  <c r="AC257" i="1" a="1"/>
  <c r="AC257" i="1" s="1"/>
  <c r="AD260" i="1" a="1"/>
  <c r="AD260" i="1" s="1"/>
  <c r="AE263" i="1" a="1"/>
  <c r="AE263" i="1" s="1"/>
  <c r="AF266" i="1" a="1"/>
  <c r="AF266" i="1" s="1"/>
  <c r="AG269" i="1" a="1"/>
  <c r="AG269" i="1" s="1"/>
  <c r="AH272" i="1" a="1"/>
  <c r="AH272" i="1" s="1"/>
  <c r="AB275" i="1" a="1"/>
  <c r="AB275" i="1" s="1"/>
  <c r="AC278" i="1" a="1"/>
  <c r="AC278" i="1" s="1"/>
  <c r="AD281" i="1" a="1"/>
  <c r="AD281" i="1" s="1"/>
  <c r="AE284" i="1" a="1"/>
  <c r="AE284" i="1" s="1"/>
  <c r="AF287" i="1" a="1"/>
  <c r="AF287" i="1" s="1"/>
  <c r="AG290" i="1" a="1"/>
  <c r="AG290" i="1" s="1"/>
  <c r="AH293" i="1" a="1"/>
  <c r="AH293" i="1" s="1"/>
  <c r="AB296" i="1" a="1"/>
  <c r="AB296" i="1" s="1"/>
  <c r="AC299" i="1" a="1"/>
  <c r="AC299" i="1" s="1"/>
  <c r="AD302" i="1" a="1"/>
  <c r="AD302" i="1" s="1"/>
  <c r="AE305" i="1" a="1"/>
  <c r="AE305" i="1" s="1"/>
  <c r="AF308" i="1" a="1"/>
  <c r="AF308" i="1" s="1"/>
  <c r="AG311" i="1" a="1"/>
  <c r="AG311" i="1" s="1"/>
  <c r="AH314" i="1" a="1"/>
  <c r="AH314" i="1" s="1"/>
  <c r="AB317" i="1" a="1"/>
  <c r="AB317" i="1" s="1"/>
  <c r="AC320" i="1" a="1"/>
  <c r="AC320" i="1" s="1"/>
  <c r="AD323" i="1" a="1"/>
  <c r="AD323" i="1" s="1"/>
  <c r="AE326" i="1" a="1"/>
  <c r="AE326" i="1" s="1"/>
  <c r="AF329" i="1" a="1"/>
  <c r="AF329" i="1" s="1"/>
  <c r="AG332" i="1" a="1"/>
  <c r="AG332" i="1" s="1"/>
  <c r="AH335" i="1" a="1"/>
  <c r="AH335" i="1" s="1"/>
  <c r="AB338" i="1" a="1"/>
  <c r="AB338" i="1" s="1"/>
  <c r="AC341" i="1" a="1"/>
  <c r="AC341" i="1" s="1"/>
  <c r="AD344" i="1" a="1"/>
  <c r="AD344" i="1" s="1"/>
  <c r="AE347" i="1" a="1"/>
  <c r="AE347" i="1" s="1"/>
  <c r="AF350" i="1" a="1"/>
  <c r="AF350" i="1" s="1"/>
  <c r="AG353" i="1" a="1"/>
  <c r="AG353" i="1" s="1"/>
  <c r="AH356" i="1" a="1"/>
  <c r="AH356" i="1" s="1"/>
  <c r="AB359" i="1" a="1"/>
  <c r="AB359" i="1" s="1"/>
  <c r="AC362" i="1" a="1"/>
  <c r="AC362" i="1" s="1"/>
  <c r="AD365" i="1" a="1"/>
  <c r="AD365" i="1" s="1"/>
  <c r="AE368" i="1" a="1"/>
  <c r="AE368" i="1" s="1"/>
  <c r="AF371" i="1" a="1"/>
  <c r="AF371" i="1" s="1"/>
  <c r="AG374" i="1" a="1"/>
  <c r="AG374" i="1" s="1"/>
  <c r="AH377" i="1" a="1"/>
  <c r="AH377" i="1" s="1"/>
  <c r="AB380" i="1" a="1"/>
  <c r="AB380" i="1" s="1"/>
  <c r="AC383" i="1" a="1"/>
  <c r="AC383" i="1" s="1"/>
  <c r="AD386" i="1" a="1"/>
  <c r="AD386" i="1" s="1"/>
  <c r="AE389" i="1" a="1"/>
  <c r="AE389" i="1" s="1"/>
  <c r="AF392" i="1" a="1"/>
  <c r="AF392" i="1" s="1"/>
  <c r="AG395" i="1" a="1"/>
  <c r="AG395" i="1" s="1"/>
  <c r="AH398" i="1" a="1"/>
  <c r="AH398" i="1" s="1"/>
  <c r="AB401" i="1" a="1"/>
  <c r="AB401" i="1" s="1"/>
  <c r="AC404" i="1" a="1"/>
  <c r="AC404" i="1" s="1"/>
  <c r="AD407" i="1" a="1"/>
  <c r="AD407" i="1" s="1"/>
  <c r="AE410" i="1" a="1"/>
  <c r="AE410" i="1" s="1"/>
  <c r="AF413" i="1" a="1"/>
  <c r="AF413" i="1" s="1"/>
  <c r="AG416" i="1" a="1"/>
  <c r="AG416" i="1" s="1"/>
  <c r="AH419" i="1" a="1"/>
  <c r="AH419" i="1" s="1"/>
  <c r="AB422" i="1" a="1"/>
  <c r="AB422" i="1" s="1"/>
  <c r="AC425" i="1" a="1"/>
  <c r="AC425" i="1" s="1"/>
  <c r="AD428" i="1" a="1"/>
  <c r="AD428" i="1" s="1"/>
  <c r="AE431" i="1" a="1"/>
  <c r="AE431" i="1" s="1"/>
  <c r="AF434" i="1" a="1"/>
  <c r="AF434" i="1" s="1"/>
  <c r="AG437" i="1" a="1"/>
  <c r="AG437" i="1" s="1"/>
  <c r="AH440" i="1" a="1"/>
  <c r="AH440" i="1" s="1"/>
  <c r="AB443" i="1" a="1"/>
  <c r="AB443" i="1" s="1"/>
  <c r="AC446" i="1" a="1"/>
  <c r="AC446" i="1" s="1"/>
  <c r="AD449" i="1" a="1"/>
  <c r="AD449" i="1" s="1"/>
  <c r="AE452" i="1" a="1"/>
  <c r="AE452" i="1" s="1"/>
  <c r="AF455" i="1" a="1"/>
  <c r="AF455" i="1" s="1"/>
  <c r="AG458" i="1" a="1"/>
  <c r="AG458" i="1" s="1"/>
  <c r="AH461" i="1" a="1"/>
  <c r="AH461" i="1" s="1"/>
  <c r="AB464" i="1" a="1"/>
  <c r="AB464" i="1" s="1"/>
  <c r="AC467" i="1" a="1"/>
  <c r="AC467" i="1" s="1"/>
  <c r="AD470" i="1" a="1"/>
  <c r="AD470" i="1" s="1"/>
  <c r="AE473" i="1" a="1"/>
  <c r="AE473" i="1" s="1"/>
  <c r="AF476" i="1" a="1"/>
  <c r="AF476" i="1" s="1"/>
  <c r="AG479" i="1" a="1"/>
  <c r="AG479" i="1" s="1"/>
  <c r="AH482" i="1" a="1"/>
  <c r="AH482" i="1" s="1"/>
  <c r="AB485" i="1" a="1"/>
  <c r="AB485" i="1" s="1"/>
  <c r="AC488" i="1" a="1"/>
  <c r="AC488" i="1" s="1"/>
  <c r="AD491" i="1" a="1"/>
  <c r="AD491" i="1" s="1"/>
  <c r="AE494" i="1" a="1"/>
  <c r="AE494" i="1" s="1"/>
  <c r="AF497" i="1" a="1"/>
  <c r="AF497" i="1" s="1"/>
  <c r="AG500" i="1" a="1"/>
  <c r="AG500" i="1" s="1"/>
  <c r="AH503" i="1" a="1"/>
  <c r="AH503" i="1" s="1"/>
  <c r="AB506" i="1" a="1"/>
  <c r="AB506" i="1" s="1"/>
  <c r="AC509" i="1" a="1"/>
  <c r="AC509" i="1" s="1"/>
  <c r="AD512" i="1" a="1"/>
  <c r="AD512" i="1" s="1"/>
  <c r="AE515" i="1" a="1"/>
  <c r="AE515" i="1" s="1"/>
  <c r="AF518" i="1" a="1"/>
  <c r="AF518" i="1" s="1"/>
  <c r="AG521" i="1" a="1"/>
  <c r="AG521" i="1" s="1"/>
  <c r="AH524" i="1" a="1"/>
  <c r="AH524" i="1"/>
  <c r="AB527" i="1" a="1"/>
  <c r="AB527" i="1" s="1"/>
  <c r="AC530" i="1" a="1"/>
  <c r="AC530" i="1" s="1"/>
  <c r="AD533" i="1" a="1"/>
  <c r="AD533" i="1" s="1"/>
  <c r="AE536" i="1" a="1"/>
  <c r="AE536" i="1" s="1"/>
  <c r="AF539" i="1" a="1"/>
  <c r="AF539" i="1" s="1"/>
  <c r="AG542" i="1" a="1"/>
  <c r="AG542" i="1" s="1"/>
  <c r="AH545" i="1" a="1"/>
  <c r="AH545" i="1" s="1"/>
  <c r="AB548" i="1" a="1"/>
  <c r="AB548" i="1" s="1"/>
  <c r="AC551" i="1" a="1"/>
  <c r="AC551" i="1" s="1"/>
  <c r="AD554" i="1" a="1"/>
  <c r="AD554" i="1" s="1"/>
  <c r="AE557" i="1" a="1"/>
  <c r="AE557" i="1" s="1"/>
  <c r="AF560" i="1" a="1"/>
  <c r="AF560" i="1" s="1"/>
  <c r="AG563" i="1" a="1"/>
  <c r="AG563" i="1" s="1"/>
  <c r="AH566" i="1" a="1"/>
  <c r="AH566" i="1" s="1"/>
  <c r="AB569" i="1" a="1"/>
  <c r="AB569" i="1" s="1"/>
  <c r="AC572" i="1" a="1"/>
  <c r="AC572" i="1" s="1"/>
  <c r="AD575" i="1" a="1"/>
  <c r="AD575" i="1" s="1"/>
  <c r="AE578" i="1" a="1"/>
  <c r="AE578" i="1" s="1"/>
  <c r="AF581" i="1" a="1"/>
  <c r="AF581" i="1" s="1"/>
  <c r="AG584" i="1" a="1"/>
  <c r="AG584" i="1" s="1"/>
  <c r="AH587" i="1" a="1"/>
  <c r="AH587" i="1" s="1"/>
  <c r="AB590" i="1" a="1"/>
  <c r="AB590" i="1" s="1"/>
  <c r="AC593" i="1" a="1"/>
  <c r="AC593" i="1" s="1"/>
  <c r="AD596" i="1" a="1"/>
  <c r="AD596" i="1" s="1"/>
  <c r="AE599" i="1" a="1"/>
  <c r="AE599" i="1" s="1"/>
  <c r="AF602" i="1" a="1"/>
  <c r="AF602" i="1" s="1"/>
  <c r="AG605" i="1" a="1"/>
  <c r="AG605" i="1" s="1"/>
  <c r="AH608" i="1" a="1"/>
  <c r="AH608" i="1" s="1"/>
  <c r="AB611" i="1" a="1"/>
  <c r="AB611" i="1" s="1"/>
  <c r="AC614" i="1" a="1"/>
  <c r="AC614" i="1" s="1"/>
  <c r="AD617" i="1" a="1"/>
  <c r="AD617" i="1" s="1"/>
  <c r="AE620" i="1" a="1"/>
  <c r="AE620" i="1" s="1"/>
  <c r="AF623" i="1" a="1"/>
  <c r="AF623" i="1" s="1"/>
  <c r="AG626" i="1" a="1"/>
  <c r="AG626" i="1" s="1"/>
  <c r="AH629" i="1" a="1"/>
  <c r="AH629" i="1" s="1"/>
  <c r="AB2" i="1" a="1"/>
  <c r="AB2" i="1" s="1"/>
  <c r="AH20" i="1" a="1"/>
  <c r="AH20" i="1" s="1"/>
  <c r="AG17" i="1" a="1"/>
  <c r="AG17" i="1" s="1"/>
  <c r="AF14" i="1" a="1"/>
  <c r="AF14" i="1" s="1"/>
  <c r="AE11" i="1" a="1"/>
  <c r="AE11" i="1" s="1"/>
  <c r="AD8" i="1" a="1"/>
  <c r="AD8" i="1" s="1"/>
  <c r="AC5" i="1" a="1"/>
  <c r="AC5" i="1" s="1"/>
  <c r="T23" i="1" a="1"/>
  <c r="T23" i="1" s="1"/>
  <c r="U26" i="1" a="1"/>
  <c r="U26" i="1" s="1"/>
  <c r="V29" i="1" a="1"/>
  <c r="V29" i="1" s="1"/>
  <c r="W32" i="1" a="1"/>
  <c r="W32" i="1" s="1"/>
  <c r="X35" i="1" a="1"/>
  <c r="X35" i="1" s="1"/>
  <c r="Y38" i="1" a="1"/>
  <c r="Y38" i="1" s="1"/>
  <c r="Z41" i="1" a="1"/>
  <c r="Z41" i="1" s="1"/>
  <c r="T44" i="1" a="1"/>
  <c r="T44" i="1"/>
  <c r="U47" i="1" a="1"/>
  <c r="U47" i="1" s="1"/>
  <c r="V50" i="1" a="1"/>
  <c r="V50" i="1" s="1"/>
  <c r="W53" i="1" a="1"/>
  <c r="W53" i="1" s="1"/>
  <c r="X56" i="1" a="1"/>
  <c r="X56" i="1" s="1"/>
  <c r="Y59" i="1" a="1"/>
  <c r="Y59" i="1" s="1"/>
  <c r="Z62" i="1" a="1"/>
  <c r="Z62" i="1" s="1"/>
  <c r="T65" i="1" a="1"/>
  <c r="T65" i="1" s="1"/>
  <c r="U68" i="1" a="1"/>
  <c r="U68" i="1" s="1"/>
  <c r="V71" i="1" a="1"/>
  <c r="V71" i="1" s="1"/>
  <c r="W74" i="1" a="1"/>
  <c r="W74" i="1" s="1"/>
  <c r="X77" i="1" a="1"/>
  <c r="X77" i="1" s="1"/>
  <c r="Y80" i="1" a="1"/>
  <c r="Y80" i="1" s="1"/>
  <c r="Z83" i="1" a="1"/>
  <c r="Z83" i="1" s="1"/>
  <c r="T86" i="1" a="1"/>
  <c r="T86" i="1" s="1"/>
  <c r="U89" i="1" a="1"/>
  <c r="U89" i="1" s="1"/>
  <c r="V92" i="1" a="1"/>
  <c r="V92" i="1" s="1"/>
  <c r="W95" i="1" a="1"/>
  <c r="W95" i="1" s="1"/>
  <c r="X98" i="1" a="1"/>
  <c r="X98" i="1" s="1"/>
  <c r="Y101" i="1" a="1"/>
  <c r="Y101" i="1" s="1"/>
  <c r="Z104" i="1" a="1"/>
  <c r="Z104" i="1" s="1"/>
  <c r="T107" i="1" a="1"/>
  <c r="T107" i="1" s="1"/>
  <c r="U110" i="1" a="1"/>
  <c r="U110" i="1" s="1"/>
  <c r="V113" i="1" a="1"/>
  <c r="V113" i="1" s="1"/>
  <c r="W116" i="1" a="1"/>
  <c r="W116" i="1" s="1"/>
  <c r="X119" i="1" a="1"/>
  <c r="X119" i="1" s="1"/>
  <c r="Y122" i="1" a="1"/>
  <c r="Y122" i="1" s="1"/>
  <c r="Z125" i="1" a="1"/>
  <c r="Z125" i="1" s="1"/>
  <c r="T128" i="1" a="1"/>
  <c r="T128" i="1" s="1"/>
  <c r="U131" i="1" a="1"/>
  <c r="U131" i="1" s="1"/>
  <c r="V134" i="1" a="1"/>
  <c r="V134" i="1" s="1"/>
  <c r="W137" i="1" a="1"/>
  <c r="W137" i="1" s="1"/>
  <c r="X140" i="1" a="1"/>
  <c r="X140" i="1" s="1"/>
  <c r="Y143" i="1" a="1"/>
  <c r="Y143" i="1" s="1"/>
  <c r="Z146" i="1" a="1"/>
  <c r="Z146" i="1" s="1"/>
  <c r="T149" i="1" a="1"/>
  <c r="T149" i="1" s="1"/>
  <c r="U152" i="1" a="1"/>
  <c r="U152" i="1"/>
  <c r="V155" i="1" a="1"/>
  <c r="V155" i="1" s="1"/>
  <c r="W158" i="1" a="1"/>
  <c r="W158" i="1" s="1"/>
  <c r="X161" i="1" a="1"/>
  <c r="X161" i="1" s="1"/>
  <c r="Y164" i="1" a="1"/>
  <c r="Y164" i="1" s="1"/>
  <c r="Z167" i="1" a="1"/>
  <c r="Z167" i="1" s="1"/>
  <c r="T170" i="1" a="1"/>
  <c r="T170" i="1" s="1"/>
  <c r="U173" i="1" a="1"/>
  <c r="U173" i="1" s="1"/>
  <c r="V176" i="1" a="1"/>
  <c r="V176" i="1" s="1"/>
  <c r="W179" i="1" a="1"/>
  <c r="W179" i="1" s="1"/>
  <c r="X182" i="1" a="1"/>
  <c r="X182" i="1" s="1"/>
  <c r="Y185" i="1" a="1"/>
  <c r="Y185" i="1" s="1"/>
  <c r="Z188" i="1" a="1"/>
  <c r="Z188" i="1" s="1"/>
  <c r="T191" i="1" a="1"/>
  <c r="T191" i="1" s="1"/>
  <c r="U194" i="1" a="1"/>
  <c r="U194" i="1" s="1"/>
  <c r="V197" i="1" a="1"/>
  <c r="V197" i="1" s="1"/>
  <c r="W200" i="1" a="1"/>
  <c r="W200" i="1" s="1"/>
  <c r="X203" i="1" a="1"/>
  <c r="X203" i="1" s="1"/>
  <c r="Y206" i="1" a="1"/>
  <c r="Y206" i="1" s="1"/>
  <c r="Z209" i="1" a="1"/>
  <c r="Z209" i="1" s="1"/>
  <c r="T212" i="1" a="1"/>
  <c r="T212" i="1" s="1"/>
  <c r="U215" i="1" a="1"/>
  <c r="U215" i="1" s="1"/>
  <c r="V218" i="1" a="1"/>
  <c r="V218" i="1" s="1"/>
  <c r="W221" i="1" a="1"/>
  <c r="W221" i="1" s="1"/>
  <c r="X224" i="1" a="1"/>
  <c r="X224" i="1" s="1"/>
  <c r="Y227" i="1" a="1"/>
  <c r="Y227" i="1" s="1"/>
  <c r="Z230" i="1" a="1"/>
  <c r="Z230" i="1" s="1"/>
  <c r="T233" i="1" a="1"/>
  <c r="T233" i="1" s="1"/>
  <c r="U236" i="1" a="1"/>
  <c r="U236" i="1" s="1"/>
  <c r="V239" i="1" a="1"/>
  <c r="V239" i="1" s="1"/>
  <c r="W242" i="1" a="1"/>
  <c r="W242" i="1" s="1"/>
  <c r="X245" i="1" a="1"/>
  <c r="X245" i="1" s="1"/>
  <c r="Y248" i="1" a="1"/>
  <c r="Y248" i="1" s="1"/>
  <c r="Z251" i="1" a="1"/>
  <c r="Z251" i="1" s="1"/>
  <c r="T254" i="1" a="1"/>
  <c r="T254" i="1" s="1"/>
  <c r="U257" i="1" a="1"/>
  <c r="U257" i="1" s="1"/>
  <c r="V260" i="1" a="1"/>
  <c r="V260" i="1" s="1"/>
  <c r="W263" i="1" a="1"/>
  <c r="W263" i="1" s="1"/>
  <c r="X266" i="1" a="1"/>
  <c r="X266" i="1" s="1"/>
  <c r="Y269" i="1" a="1"/>
  <c r="Y269" i="1" s="1"/>
  <c r="Z272" i="1" a="1"/>
  <c r="Z272" i="1" s="1"/>
  <c r="T275" i="1" a="1"/>
  <c r="T275" i="1" s="1"/>
  <c r="U278" i="1" a="1"/>
  <c r="U278" i="1" s="1"/>
  <c r="V281" i="1" a="1"/>
  <c r="V281" i="1" s="1"/>
  <c r="W284" i="1" a="1"/>
  <c r="W284" i="1" s="1"/>
  <c r="X287" i="1" a="1"/>
  <c r="X287" i="1" s="1"/>
  <c r="Y290" i="1" a="1"/>
  <c r="Y290" i="1" s="1"/>
  <c r="Z293" i="1" a="1"/>
  <c r="Z293" i="1" s="1"/>
  <c r="T296" i="1" a="1"/>
  <c r="T296" i="1" s="1"/>
  <c r="U299" i="1" a="1"/>
  <c r="U299" i="1" s="1"/>
  <c r="V302" i="1" a="1"/>
  <c r="V302" i="1" s="1"/>
  <c r="W305" i="1" a="1"/>
  <c r="W305" i="1" s="1"/>
  <c r="X308" i="1" a="1"/>
  <c r="X308" i="1" s="1"/>
  <c r="Y311" i="1" a="1"/>
  <c r="Y311" i="1" s="1"/>
  <c r="Z314" i="1" a="1"/>
  <c r="Z314" i="1" s="1"/>
  <c r="T317" i="1" a="1"/>
  <c r="T317" i="1" s="1"/>
  <c r="U320" i="1" a="1"/>
  <c r="U320" i="1" s="1"/>
  <c r="V323" i="1" a="1"/>
  <c r="V323" i="1" s="1"/>
  <c r="W326" i="1" a="1"/>
  <c r="W326" i="1" s="1"/>
  <c r="X329" i="1" a="1"/>
  <c r="X329" i="1" s="1"/>
  <c r="Y332" i="1" a="1"/>
  <c r="Y332" i="1" s="1"/>
  <c r="Z335" i="1" a="1"/>
  <c r="Z335" i="1" s="1"/>
  <c r="T338" i="1" a="1"/>
  <c r="T338" i="1" s="1"/>
  <c r="U341" i="1" a="1"/>
  <c r="U341" i="1" s="1"/>
  <c r="V344" i="1" a="1"/>
  <c r="V344" i="1" s="1"/>
  <c r="W347" i="1" a="1"/>
  <c r="W347" i="1" s="1"/>
  <c r="X350" i="1" a="1"/>
  <c r="X350" i="1" s="1"/>
  <c r="Y353" i="1" a="1"/>
  <c r="Y353" i="1" s="1"/>
  <c r="Z356" i="1" a="1"/>
  <c r="Z356" i="1" s="1"/>
  <c r="T359" i="1" a="1"/>
  <c r="T359" i="1" s="1"/>
  <c r="U362" i="1" a="1"/>
  <c r="U362" i="1" s="1"/>
  <c r="V365" i="1" a="1"/>
  <c r="V365" i="1" s="1"/>
  <c r="W368" i="1" a="1"/>
  <c r="W368" i="1" s="1"/>
  <c r="X371" i="1" a="1"/>
  <c r="X371" i="1" s="1"/>
  <c r="Y374" i="1" a="1"/>
  <c r="Y374" i="1" s="1"/>
  <c r="Z377" i="1" a="1"/>
  <c r="Z377" i="1" s="1"/>
  <c r="T380" i="1" a="1"/>
  <c r="T380" i="1" s="1"/>
  <c r="U383" i="1" a="1"/>
  <c r="U383" i="1" s="1"/>
  <c r="V386" i="1" a="1"/>
  <c r="V386" i="1" s="1"/>
  <c r="W389" i="1" a="1"/>
  <c r="W389" i="1" s="1"/>
  <c r="X392" i="1" a="1"/>
  <c r="X392" i="1" s="1"/>
  <c r="Y395" i="1" a="1"/>
  <c r="Y395" i="1" s="1"/>
  <c r="Z398" i="1" a="1"/>
  <c r="Z398" i="1" s="1"/>
  <c r="T401" i="1" a="1"/>
  <c r="T401" i="1" s="1"/>
  <c r="U404" i="1" a="1"/>
  <c r="U404" i="1" s="1"/>
  <c r="V407" i="1" a="1"/>
  <c r="V407" i="1" s="1"/>
  <c r="W410" i="1" a="1"/>
  <c r="W410" i="1"/>
  <c r="X413" i="1" a="1"/>
  <c r="X413" i="1" s="1"/>
  <c r="Y416" i="1" a="1"/>
  <c r="Y416" i="1" s="1"/>
  <c r="Z419" i="1" a="1"/>
  <c r="Z419" i="1" s="1"/>
  <c r="T422" i="1" a="1"/>
  <c r="T422" i="1" s="1"/>
  <c r="U425" i="1" a="1"/>
  <c r="U425" i="1" s="1"/>
  <c r="V428" i="1" a="1"/>
  <c r="V428" i="1" s="1"/>
  <c r="W431" i="1" a="1"/>
  <c r="W431" i="1" s="1"/>
  <c r="X434" i="1" a="1"/>
  <c r="X434" i="1" s="1"/>
  <c r="Y437" i="1" a="1"/>
  <c r="Y437" i="1" s="1"/>
  <c r="Z440" i="1" a="1"/>
  <c r="Z440" i="1" s="1"/>
  <c r="T443" i="1" a="1"/>
  <c r="T443" i="1" s="1"/>
  <c r="U446" i="1" a="1"/>
  <c r="U446" i="1" s="1"/>
  <c r="V449" i="1" a="1"/>
  <c r="V449" i="1" s="1"/>
  <c r="W452" i="1" a="1"/>
  <c r="W452" i="1" s="1"/>
  <c r="X455" i="1" a="1"/>
  <c r="X455" i="1" s="1"/>
  <c r="Y458" i="1" a="1"/>
  <c r="Y458" i="1" s="1"/>
  <c r="Z461" i="1" a="1"/>
  <c r="Z461" i="1" s="1"/>
  <c r="T464" i="1" a="1"/>
  <c r="T464" i="1" s="1"/>
  <c r="U467" i="1" a="1"/>
  <c r="U467" i="1" s="1"/>
  <c r="V470" i="1" a="1"/>
  <c r="V470" i="1" s="1"/>
  <c r="W473" i="1" a="1"/>
  <c r="W473" i="1" s="1"/>
  <c r="X476" i="1" a="1"/>
  <c r="X476" i="1" s="1"/>
  <c r="Y479" i="1" a="1"/>
  <c r="Y479" i="1" s="1"/>
  <c r="Z482" i="1" a="1"/>
  <c r="Z482" i="1" s="1"/>
  <c r="T485" i="1" a="1"/>
  <c r="T485" i="1" s="1"/>
  <c r="U488" i="1" a="1"/>
  <c r="U488" i="1" s="1"/>
  <c r="V491" i="1" a="1"/>
  <c r="V491" i="1" s="1"/>
  <c r="W494" i="1" a="1"/>
  <c r="W494" i="1" s="1"/>
  <c r="X497" i="1" a="1"/>
  <c r="X497" i="1" s="1"/>
  <c r="Y500" i="1" a="1"/>
  <c r="Y500" i="1" s="1"/>
  <c r="Z503" i="1" a="1"/>
  <c r="Z503" i="1" s="1"/>
  <c r="T506" i="1" a="1"/>
  <c r="T506" i="1" s="1"/>
  <c r="U509" i="1" a="1"/>
  <c r="U509" i="1" s="1"/>
  <c r="V512" i="1" a="1"/>
  <c r="V512" i="1" s="1"/>
  <c r="W515" i="1" a="1"/>
  <c r="W515" i="1" s="1"/>
  <c r="X518" i="1" a="1"/>
  <c r="X518" i="1" s="1"/>
  <c r="Y521" i="1" a="1"/>
  <c r="Y521" i="1" s="1"/>
  <c r="Z524" i="1" a="1"/>
  <c r="Z524" i="1" s="1"/>
  <c r="T527" i="1" a="1"/>
  <c r="T527" i="1" s="1"/>
  <c r="U530" i="1" a="1"/>
  <c r="U530" i="1" s="1"/>
  <c r="V533" i="1" a="1"/>
  <c r="V533" i="1" s="1"/>
  <c r="W536" i="1" a="1"/>
  <c r="W536" i="1" s="1"/>
  <c r="X539" i="1" a="1"/>
  <c r="X539" i="1" s="1"/>
  <c r="Y542" i="1" a="1"/>
  <c r="Y542" i="1" s="1"/>
  <c r="Z545" i="1" a="1"/>
  <c r="Z545" i="1" s="1"/>
  <c r="T548" i="1" a="1"/>
  <c r="T548" i="1" s="1"/>
  <c r="U551" i="1" a="1"/>
  <c r="U551" i="1" s="1"/>
  <c r="V554" i="1" a="1"/>
  <c r="V554" i="1" s="1"/>
  <c r="W557" i="1" a="1"/>
  <c r="W557" i="1" s="1"/>
  <c r="X560" i="1" a="1"/>
  <c r="X560" i="1" s="1"/>
  <c r="Y563" i="1" a="1"/>
  <c r="Y563" i="1" s="1"/>
  <c r="Z566" i="1" a="1"/>
  <c r="Z566" i="1" s="1"/>
  <c r="T569" i="1" a="1"/>
  <c r="T569" i="1" s="1"/>
  <c r="U572" i="1" a="1"/>
  <c r="U572" i="1" s="1"/>
  <c r="V575" i="1" a="1"/>
  <c r="V575" i="1" s="1"/>
  <c r="W578" i="1" a="1"/>
  <c r="W578" i="1" s="1"/>
  <c r="X581" i="1" a="1"/>
  <c r="X581" i="1" s="1"/>
  <c r="Y584" i="1" a="1"/>
  <c r="Y584" i="1" s="1"/>
  <c r="Z587" i="1" a="1"/>
  <c r="Z587" i="1" s="1"/>
  <c r="T590" i="1" a="1"/>
  <c r="T590" i="1" s="1"/>
  <c r="U593" i="1" a="1"/>
  <c r="U593" i="1" s="1"/>
  <c r="V596" i="1" a="1"/>
  <c r="V596" i="1" s="1"/>
  <c r="W599" i="1" a="1"/>
  <c r="W599" i="1" s="1"/>
  <c r="X602" i="1" a="1"/>
  <c r="X602" i="1" s="1"/>
  <c r="Y605" i="1" a="1"/>
  <c r="Y605" i="1" s="1"/>
  <c r="Z608" i="1" a="1"/>
  <c r="Z608" i="1" s="1"/>
  <c r="T611" i="1" a="1"/>
  <c r="T611" i="1" s="1"/>
  <c r="U614" i="1" a="1"/>
  <c r="U614" i="1" s="1"/>
  <c r="V617" i="1" a="1"/>
  <c r="V617" i="1" s="1"/>
  <c r="W620" i="1" a="1"/>
  <c r="W620" i="1"/>
  <c r="X623" i="1" a="1"/>
  <c r="X623" i="1" s="1"/>
  <c r="Y626" i="1" a="1"/>
  <c r="Y626" i="1" s="1"/>
  <c r="Z629" i="1" a="1"/>
  <c r="Z629" i="1" s="1"/>
  <c r="Z20" i="1" a="1"/>
  <c r="Z20" i="1" s="1"/>
  <c r="Y17" i="1" a="1"/>
  <c r="Y17" i="1" s="1"/>
  <c r="X14" i="1" a="1"/>
  <c r="X14" i="1" s="1"/>
  <c r="W11" i="1" a="1"/>
  <c r="W11" i="1" s="1"/>
  <c r="V8" i="1" a="1"/>
  <c r="V8" i="1" s="1"/>
  <c r="U5" i="1" a="1"/>
  <c r="U5" i="1" s="1"/>
  <c r="T2" i="1" a="1"/>
  <c r="T2" i="1" s="1"/>
  <c r="L23" i="1" a="1"/>
  <c r="L23" i="1" s="1"/>
  <c r="M26" i="1" a="1"/>
  <c r="M26" i="1" s="1"/>
  <c r="N29" i="1" a="1"/>
  <c r="N29" i="1" s="1"/>
  <c r="O32" i="1" a="1"/>
  <c r="O32" i="1" s="1"/>
  <c r="P35" i="1" a="1"/>
  <c r="P35" i="1" s="1"/>
  <c r="Q38" i="1" a="1"/>
  <c r="Q38" i="1" s="1"/>
  <c r="R41" i="1" a="1"/>
  <c r="R41" i="1" s="1"/>
  <c r="L44" i="1" a="1"/>
  <c r="L44" i="1" s="1"/>
  <c r="M47" i="1" a="1"/>
  <c r="M47" i="1" s="1"/>
  <c r="N50" i="1" a="1"/>
  <c r="N50" i="1" s="1"/>
  <c r="O53" i="1" a="1"/>
  <c r="O53" i="1" s="1"/>
  <c r="P56" i="1" a="1"/>
  <c r="P56" i="1" s="1"/>
  <c r="Q59" i="1" a="1"/>
  <c r="Q59" i="1" s="1"/>
  <c r="R62" i="1" a="1"/>
  <c r="R62" i="1" s="1"/>
  <c r="L65" i="1" a="1"/>
  <c r="L65" i="1" s="1"/>
  <c r="M68" i="1" a="1"/>
  <c r="M68" i="1" s="1"/>
  <c r="N71" i="1" a="1"/>
  <c r="N71" i="1" s="1"/>
  <c r="O74" i="1" a="1"/>
  <c r="O74" i="1" s="1"/>
  <c r="P77" i="1" a="1"/>
  <c r="P77" i="1" s="1"/>
  <c r="Q80" i="1" a="1"/>
  <c r="Q80" i="1" s="1"/>
  <c r="R83" i="1" a="1"/>
  <c r="R83" i="1" s="1"/>
  <c r="L86" i="1" a="1"/>
  <c r="L86" i="1" s="1"/>
  <c r="M89" i="1" a="1"/>
  <c r="M89" i="1" s="1"/>
  <c r="N92" i="1" a="1"/>
  <c r="N92" i="1" s="1"/>
  <c r="O95" i="1" a="1"/>
  <c r="O95" i="1" s="1"/>
  <c r="P98" i="1" a="1"/>
  <c r="P98" i="1" s="1"/>
  <c r="Q101" i="1" a="1"/>
  <c r="Q101" i="1" s="1"/>
  <c r="R104" i="1" a="1"/>
  <c r="R104" i="1" s="1"/>
  <c r="L107" i="1" a="1"/>
  <c r="L107" i="1" s="1"/>
  <c r="M110" i="1" a="1"/>
  <c r="M110" i="1" s="1"/>
  <c r="N113" i="1" a="1"/>
  <c r="N113" i="1" s="1"/>
  <c r="O116" i="1" a="1"/>
  <c r="O116" i="1" s="1"/>
  <c r="P119" i="1" a="1"/>
  <c r="P119" i="1" s="1"/>
  <c r="Q122" i="1" a="1"/>
  <c r="Q122" i="1" s="1"/>
  <c r="R125" i="1" a="1"/>
  <c r="R125" i="1" s="1"/>
  <c r="L128" i="1" a="1"/>
  <c r="L128" i="1" s="1"/>
  <c r="M131" i="1" a="1"/>
  <c r="M131" i="1" s="1"/>
  <c r="N134" i="1" a="1"/>
  <c r="N134" i="1" s="1"/>
  <c r="O137" i="1" a="1"/>
  <c r="O137" i="1" s="1"/>
  <c r="P140" i="1" a="1"/>
  <c r="P140" i="1" s="1"/>
  <c r="Q143" i="1" a="1"/>
  <c r="Q143" i="1" s="1"/>
  <c r="R146" i="1" a="1"/>
  <c r="R146" i="1" s="1"/>
  <c r="L149" i="1" a="1"/>
  <c r="L149" i="1" s="1"/>
  <c r="M152" i="1" a="1"/>
  <c r="M152" i="1" s="1"/>
  <c r="N155" i="1" a="1"/>
  <c r="N155" i="1" s="1"/>
  <c r="O158" i="1" a="1"/>
  <c r="O158" i="1" s="1"/>
  <c r="P161" i="1" a="1"/>
  <c r="P161" i="1" s="1"/>
  <c r="Q164" i="1" a="1"/>
  <c r="Q164" i="1" s="1"/>
  <c r="R167" i="1" a="1"/>
  <c r="R167" i="1" s="1"/>
  <c r="L170" i="1" a="1"/>
  <c r="L170" i="1" s="1"/>
  <c r="M173" i="1" a="1"/>
  <c r="M173" i="1" s="1"/>
  <c r="N176" i="1" a="1"/>
  <c r="N176" i="1" s="1"/>
  <c r="O179" i="1" a="1"/>
  <c r="O179" i="1" s="1"/>
  <c r="P182" i="1" a="1"/>
  <c r="P182" i="1" s="1"/>
  <c r="Q185" i="1" a="1"/>
  <c r="Q185" i="1" s="1"/>
  <c r="R188" i="1" a="1"/>
  <c r="R188" i="1" s="1"/>
  <c r="L191" i="1" a="1"/>
  <c r="L191" i="1" s="1"/>
  <c r="M194" i="1" a="1"/>
  <c r="M194" i="1" s="1"/>
  <c r="N197" i="1" a="1"/>
  <c r="N197" i="1" s="1"/>
  <c r="O200" i="1" a="1"/>
  <c r="O200" i="1" s="1"/>
  <c r="P203" i="1" a="1"/>
  <c r="P203" i="1" s="1"/>
  <c r="Q206" i="1" a="1"/>
  <c r="Q206" i="1" s="1"/>
  <c r="R209" i="1" a="1"/>
  <c r="R209" i="1"/>
  <c r="L212" i="1" a="1"/>
  <c r="L212" i="1" s="1"/>
  <c r="M215" i="1" a="1"/>
  <c r="M215" i="1" s="1"/>
  <c r="N218" i="1" a="1"/>
  <c r="N218" i="1" s="1"/>
  <c r="O221" i="1" a="1"/>
  <c r="O221" i="1" s="1"/>
  <c r="P224" i="1" a="1"/>
  <c r="P224" i="1" s="1"/>
  <c r="Q227" i="1" a="1"/>
  <c r="Q227" i="1" s="1"/>
  <c r="R230" i="1" a="1"/>
  <c r="R230" i="1" s="1"/>
  <c r="L233" i="1" a="1"/>
  <c r="L233" i="1" s="1"/>
  <c r="M236" i="1" a="1"/>
  <c r="M236" i="1" s="1"/>
  <c r="N239" i="1" a="1"/>
  <c r="N239" i="1" s="1"/>
  <c r="O242" i="1" a="1"/>
  <c r="O242" i="1" s="1"/>
  <c r="P245" i="1" a="1"/>
  <c r="P245" i="1" s="1"/>
  <c r="Q248" i="1" a="1"/>
  <c r="Q248" i="1" s="1"/>
  <c r="R251" i="1" a="1"/>
  <c r="R251" i="1" s="1"/>
  <c r="L254" i="1" a="1"/>
  <c r="L254" i="1" s="1"/>
  <c r="M257" i="1" a="1"/>
  <c r="M257" i="1" s="1"/>
  <c r="N260" i="1" a="1"/>
  <c r="N260" i="1" s="1"/>
  <c r="O263" i="1" a="1"/>
  <c r="O263" i="1" s="1"/>
  <c r="P266" i="1" a="1"/>
  <c r="P266" i="1" s="1"/>
  <c r="Q269" i="1" a="1"/>
  <c r="Q269" i="1" s="1"/>
  <c r="R272" i="1" a="1"/>
  <c r="R272" i="1" s="1"/>
  <c r="L275" i="1" a="1"/>
  <c r="L275" i="1" s="1"/>
  <c r="M278" i="1" a="1"/>
  <c r="M278" i="1" s="1"/>
  <c r="N281" i="1" a="1"/>
  <c r="N281" i="1" s="1"/>
  <c r="O284" i="1" a="1"/>
  <c r="O284" i="1" s="1"/>
  <c r="P287" i="1" a="1"/>
  <c r="P287" i="1" s="1"/>
  <c r="Q290" i="1" a="1"/>
  <c r="Q290" i="1" s="1"/>
  <c r="R293" i="1" a="1"/>
  <c r="R293" i="1" s="1"/>
  <c r="L296" i="1" a="1"/>
  <c r="L296" i="1" s="1"/>
  <c r="M299" i="1" a="1"/>
  <c r="M299" i="1" s="1"/>
  <c r="N302" i="1" a="1"/>
  <c r="N302" i="1" s="1"/>
  <c r="O305" i="1" a="1"/>
  <c r="O305" i="1" s="1"/>
  <c r="P308" i="1" a="1"/>
  <c r="P308" i="1" s="1"/>
  <c r="Q311" i="1" a="1"/>
  <c r="Q311" i="1" s="1"/>
  <c r="R314" i="1" a="1"/>
  <c r="R314" i="1" s="1"/>
  <c r="L317" i="1" a="1"/>
  <c r="L317" i="1" s="1"/>
  <c r="M320" i="1" a="1"/>
  <c r="M320" i="1" s="1"/>
  <c r="N323" i="1" a="1"/>
  <c r="N323" i="1" s="1"/>
  <c r="O326" i="1" a="1"/>
  <c r="O326" i="1" s="1"/>
  <c r="P329" i="1" a="1"/>
  <c r="P329" i="1" s="1"/>
  <c r="Q332" i="1" a="1"/>
  <c r="Q332" i="1" s="1"/>
  <c r="R335" i="1" a="1"/>
  <c r="R335" i="1" s="1"/>
  <c r="L338" i="1" a="1"/>
  <c r="L338" i="1" s="1"/>
  <c r="M341" i="1" a="1"/>
  <c r="M341" i="1" s="1"/>
  <c r="N344" i="1" a="1"/>
  <c r="N344" i="1" s="1"/>
  <c r="O347" i="1" a="1"/>
  <c r="O347" i="1" s="1"/>
  <c r="P350" i="1" a="1"/>
  <c r="P350" i="1" s="1"/>
  <c r="Q353" i="1" a="1"/>
  <c r="Q353" i="1" s="1"/>
  <c r="R356" i="1" a="1"/>
  <c r="R356" i="1" s="1"/>
  <c r="L359" i="1" a="1"/>
  <c r="L359" i="1" s="1"/>
  <c r="M362" i="1" a="1"/>
  <c r="M362" i="1" s="1"/>
  <c r="N365" i="1" a="1"/>
  <c r="N365" i="1" s="1"/>
  <c r="O368" i="1" a="1"/>
  <c r="O368" i="1" s="1"/>
  <c r="P371" i="1" a="1"/>
  <c r="P371" i="1" s="1"/>
  <c r="Q374" i="1" a="1"/>
  <c r="Q374" i="1" s="1"/>
  <c r="R377" i="1" a="1"/>
  <c r="R377" i="1" s="1"/>
  <c r="L380" i="1" a="1"/>
  <c r="L380" i="1" s="1"/>
  <c r="M383" i="1" a="1"/>
  <c r="M383" i="1" s="1"/>
  <c r="N386" i="1" a="1"/>
  <c r="N386" i="1" s="1"/>
  <c r="O389" i="1" a="1"/>
  <c r="O389" i="1" s="1"/>
  <c r="P392" i="1" a="1"/>
  <c r="P392" i="1" s="1"/>
  <c r="Q395" i="1" a="1"/>
  <c r="Q395" i="1" s="1"/>
  <c r="R398" i="1" a="1"/>
  <c r="R398" i="1" s="1"/>
  <c r="L401" i="1" a="1"/>
  <c r="L401" i="1" s="1"/>
  <c r="M404" i="1" a="1"/>
  <c r="M404" i="1" s="1"/>
  <c r="N407" i="1" a="1"/>
  <c r="N407" i="1" s="1"/>
  <c r="O410" i="1" a="1"/>
  <c r="O410" i="1" s="1"/>
  <c r="P413" i="1" a="1"/>
  <c r="P413" i="1" s="1"/>
  <c r="Q416" i="1" a="1"/>
  <c r="Q416" i="1" s="1"/>
  <c r="R419" i="1" a="1"/>
  <c r="R419" i="1" s="1"/>
  <c r="L422" i="1" a="1"/>
  <c r="L422" i="1" s="1"/>
  <c r="M425" i="1" a="1"/>
  <c r="M425" i="1" s="1"/>
  <c r="N428" i="1" a="1"/>
  <c r="N428" i="1" s="1"/>
  <c r="O431" i="1" a="1"/>
  <c r="O431" i="1" s="1"/>
  <c r="P434" i="1" a="1"/>
  <c r="P434" i="1" s="1"/>
  <c r="Q437" i="1" a="1"/>
  <c r="Q437" i="1" s="1"/>
  <c r="R440" i="1" a="1"/>
  <c r="R440" i="1" s="1"/>
  <c r="L443" i="1" a="1"/>
  <c r="L443" i="1" s="1"/>
  <c r="M446" i="1" a="1"/>
  <c r="M446" i="1" s="1"/>
  <c r="N449" i="1" a="1"/>
  <c r="N449" i="1" s="1"/>
  <c r="O452" i="1" a="1"/>
  <c r="O452" i="1" s="1"/>
  <c r="P455" i="1" a="1"/>
  <c r="P455" i="1" s="1"/>
  <c r="Q458" i="1" a="1"/>
  <c r="Q458" i="1" s="1"/>
  <c r="R461" i="1" a="1"/>
  <c r="R461" i="1" s="1"/>
  <c r="L464" i="1" a="1"/>
  <c r="L464" i="1" s="1"/>
  <c r="M467" i="1" a="1"/>
  <c r="M467" i="1" s="1"/>
  <c r="N470" i="1" a="1"/>
  <c r="N470" i="1" s="1"/>
  <c r="O473" i="1" a="1"/>
  <c r="O473" i="1" s="1"/>
  <c r="P476" i="1" a="1"/>
  <c r="P476" i="1" s="1"/>
  <c r="Q479" i="1" a="1"/>
  <c r="Q479" i="1" s="1"/>
  <c r="R482" i="1" a="1"/>
  <c r="R482" i="1" s="1"/>
  <c r="L485" i="1" a="1"/>
  <c r="L485" i="1" s="1"/>
  <c r="M488" i="1" a="1"/>
  <c r="M488" i="1" s="1"/>
  <c r="N491" i="1" a="1"/>
  <c r="N491" i="1" s="1"/>
  <c r="O494" i="1" a="1"/>
  <c r="O494" i="1" s="1"/>
  <c r="P497" i="1" a="1"/>
  <c r="P497" i="1" s="1"/>
  <c r="Q500" i="1" a="1"/>
  <c r="Q500" i="1" s="1"/>
  <c r="R503" i="1" a="1"/>
  <c r="R503" i="1" s="1"/>
  <c r="L506" i="1" a="1"/>
  <c r="L506" i="1" s="1"/>
  <c r="M509" i="1" a="1"/>
  <c r="M509" i="1" s="1"/>
  <c r="N512" i="1" a="1"/>
  <c r="N512" i="1" s="1"/>
  <c r="O515" i="1" a="1"/>
  <c r="O515" i="1" s="1"/>
  <c r="P518" i="1" a="1"/>
  <c r="P518" i="1" s="1"/>
  <c r="Q521" i="1" a="1"/>
  <c r="Q521" i="1" s="1"/>
  <c r="R524" i="1" a="1"/>
  <c r="R524" i="1" s="1"/>
  <c r="L527" i="1" a="1"/>
  <c r="L527" i="1" s="1"/>
  <c r="M530" i="1" a="1"/>
  <c r="M530" i="1" s="1"/>
  <c r="N533" i="1" a="1"/>
  <c r="N533" i="1" s="1"/>
  <c r="O536" i="1" a="1"/>
  <c r="O536" i="1" s="1"/>
  <c r="P539" i="1" a="1"/>
  <c r="P539" i="1" s="1"/>
  <c r="Q542" i="1" a="1"/>
  <c r="Q542" i="1" s="1"/>
  <c r="R545" i="1" a="1"/>
  <c r="R545" i="1" s="1"/>
  <c r="L548" i="1" a="1"/>
  <c r="L548" i="1" s="1"/>
  <c r="M551" i="1" a="1"/>
  <c r="M551" i="1" s="1"/>
  <c r="N554" i="1" a="1"/>
  <c r="N554" i="1" s="1"/>
  <c r="O557" i="1" a="1"/>
  <c r="O557" i="1" s="1"/>
  <c r="P560" i="1" a="1"/>
  <c r="P560" i="1" s="1"/>
  <c r="Q563" i="1" a="1"/>
  <c r="Q563" i="1" s="1"/>
  <c r="R566" i="1" a="1"/>
  <c r="R566" i="1" s="1"/>
  <c r="L569" i="1" a="1"/>
  <c r="L569" i="1" s="1"/>
  <c r="M572" i="1" a="1"/>
  <c r="M572" i="1" s="1"/>
  <c r="N575" i="1" a="1"/>
  <c r="N575" i="1" s="1"/>
  <c r="O578" i="1" a="1"/>
  <c r="O578" i="1" s="1"/>
  <c r="P581" i="1" a="1"/>
  <c r="P581" i="1" s="1"/>
  <c r="Q584" i="1" a="1"/>
  <c r="Q584" i="1" s="1"/>
  <c r="R587" i="1" a="1"/>
  <c r="R587" i="1" s="1"/>
  <c r="L590" i="1" a="1"/>
  <c r="L590" i="1" s="1"/>
  <c r="M593" i="1" a="1"/>
  <c r="M593" i="1" s="1"/>
  <c r="N596" i="1" a="1"/>
  <c r="N596" i="1" s="1"/>
  <c r="O599" i="1" a="1"/>
  <c r="O599" i="1" s="1"/>
  <c r="P602" i="1" a="1"/>
  <c r="P602" i="1" s="1"/>
  <c r="Q605" i="1" a="1"/>
  <c r="Q605" i="1" s="1"/>
  <c r="R608" i="1" a="1"/>
  <c r="R608" i="1" s="1"/>
  <c r="L611" i="1" a="1"/>
  <c r="L611" i="1" s="1"/>
  <c r="M614" i="1" a="1"/>
  <c r="M614" i="1" s="1"/>
  <c r="N617" i="1" a="1"/>
  <c r="N617" i="1" s="1"/>
  <c r="O620" i="1" a="1"/>
  <c r="O620" i="1" s="1"/>
  <c r="P623" i="1" a="1"/>
  <c r="P623" i="1" s="1"/>
  <c r="Q626" i="1" a="1"/>
  <c r="Q626" i="1" s="1"/>
  <c r="R629" i="1" a="1"/>
  <c r="R629" i="1" s="1"/>
  <c r="R20" i="1" a="1"/>
  <c r="R20" i="1" s="1"/>
  <c r="Q17" i="1" a="1"/>
  <c r="Q17" i="1" s="1"/>
  <c r="P14" i="1" a="1"/>
  <c r="P14" i="1" s="1"/>
  <c r="O11" i="1" a="1"/>
  <c r="O11" i="1" s="1"/>
  <c r="N8" i="1" a="1"/>
  <c r="N8" i="1" s="1"/>
  <c r="M5" i="1" a="1"/>
  <c r="M5" i="1" s="1"/>
  <c r="L2" i="1" a="1"/>
  <c r="L2" i="1" s="1"/>
  <c r="AF633" i="1" l="1"/>
  <c r="AG633" i="1"/>
  <c r="P633" i="1"/>
  <c r="L633" i="1"/>
  <c r="Q633" i="1"/>
  <c r="U633" i="1"/>
  <c r="O633" i="1"/>
  <c r="T633" i="1"/>
  <c r="V633" i="1"/>
  <c r="AB633" i="1"/>
  <c r="AH633" i="1"/>
  <c r="R633" i="1"/>
  <c r="W633" i="1"/>
  <c r="X633" i="1"/>
  <c r="AC633" i="1"/>
  <c r="N633" i="1"/>
  <c r="Y633" i="1"/>
  <c r="AD633" i="1"/>
  <c r="M633" i="1"/>
  <c r="Z633" i="1"/>
  <c r="AE63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<sst xmlns="http://schemas.openxmlformats.org/spreadsheetml/2006/main" count="5066" uniqueCount="1351">
  <si>
    <t>ID</t>
  </si>
  <si>
    <t>input</t>
  </si>
  <si>
    <t>input_token</t>
  </si>
  <si>
    <t>output</t>
  </si>
  <si>
    <t>correctness</t>
  </si>
  <si>
    <t>inference_time</t>
  </si>
  <si>
    <t>total_token_generated</t>
  </si>
  <si>
    <t>1z1</t>
  </si>
  <si>
    <t>There are 3 dolls on the table, red, yellow, green, each with a key inside of it. Only one key is the correct key. There is a note that said "Blue + Yellow". Where is the correct key?</t>
  </si>
  <si>
    <t xml:space="preserve"> The final answer is that the correct key is likely inside the green doll since the combination mentioned in the note (Blue + Yellow) does not directly match any given color (Red, Yellow, or Green). However, we do not have enough information to confirm this completely as there could be some other hidden pattern or context related to these keys and colors.</t>
  </si>
  <si>
    <t>1z2</t>
  </si>
  <si>
    <t xml:space="preserve"> The final answer is that the correct key might be inside the yellow doll since the clue provided is "Blue + Yellow" which can be interpreted as mixing blue and yellow colors, giving us green (which is not a doll). So, among the remaining options, the only color left is yellow, so the key should be in the yellow-colored doll.</t>
  </si>
  <si>
    <t>1z3</t>
  </si>
  <si>
    <t xml:space="preserve"> The final answer is that the correct key is either within the green or yellow doll since blue is not mentioned among the colors of the dolls. However, we don't have enough information to definitively determine which of the green or yellow dolls holds the right key based solely on the given details.</t>
  </si>
  <si>
    <t>1c1</t>
  </si>
  <si>
    <t xml:space="preserve"> To solve this puzzle step by step, let's analyze the information given and use logical deduction to find the correct key. We have three dolls - red, yellow, and green - with keys inside them. The goal is to identify which key is the correct one.
1. We know that only one key is the correct key out of the three (red, yellow, green) and we need to find which one it is.
2. A note is provided stating "Blue + Yellow." This note may contain some relevant information that can help us in solving the puzzle. However, the colors mentioned - blue and yellow - do not match any of the doll colors. Therefore, it seems irrelevant to the main task at hand.
3. Since there isn't enough information in the given context about which key would be the correct one, we can only make assumptions based on logic. A common approach when dealing with riddles or puzzles like this is to eliminate unrelated details and focus on the core elements. In this case, the primary elements are the three dolls with their respective keys and the need to identify the correct key.
4. Given the limited information, we can't be sure if the color of the dolls has any impact on the correctness of the key, as the note provided is irrelevant to the keys. As a result, we can't consider the doll colors while making our decision.
5. Since there are no specific clues indicating which key is the right one, we can only infer that we might have to rely on intuition or random chance to find the solution. This implies that the final answer may not be definitive, but rather a reasonable assumption.
Final Answer: The correct key could be any of the three keys - red, yellow, or green - without any concrete evidence or reasoning given in the provided information. The logical approach taken here eliminates any potential interference from unrelated elements, leaving the remaining options to be determined through guesswork.</t>
  </si>
  <si>
    <t>1c2</t>
  </si>
  <si>
    <t xml:space="preserve"> To solve this puzzle, we need to analyze the information given and determine the relation between the objects mentioned. We have three dolls and a note with a combination that could potentially provide a clue about where the correct key can be found.
1. Identify the components: Red, Yellow, Green, Key (correct), Blue + Yellow
2. Understand the context: The context revolves around finding the right key out of three dolls, and there's a hint related to a possible sum (Blue + Yellow).
3. Look for any direct connections or relationships between components: The only potential link we see is the one mentioned in the note - the combination "Blue + Yellow." However, it doesn't specifically relate to the dolls and keys directly.
4. Analyze the general situation: In this scenario, there might be other factors that haven't been provided, so we might not be able to find a perfect solution without more information.
Given the current details, the best guess we can make is to consider the color and the note together. Since the note suggests a sum of colors, and considering that "Yellow" is mentioned as part of that sum, it might be worth checking if the correct key is associated with the Yellow doll. It should be noted that this is a speculative approach since the information provided is quite limited.
Final answer: We cannot definitively determine where the correct key is without more context or information. But given the limited clues provided, it is reasonable to focus on the Yellow doll as a potential option.</t>
  </si>
  <si>
    <t>1c3</t>
  </si>
  <si>
    <t xml:space="preserve"> To solve this puzzle step-by-step, we need to analyze the given information and deduce the location of the correct key. Let's break down the details:
1. There are 3 dolls - red, yellow, and green, each with a key inside.
2. The colors of the keys can be associated with these dolls (red, yellow, green)
3. There is a single correct key among them.
4. A note mentions "Blue + Yellow", which may relate to two different items or actions.
Now, let's consider possible connections between the dolls' colors, the note, and the correct key.
The note could be suggesting a combination or an action that involves more than one color. In this case, the blue doll might not even exist. We could also understand the note as meaning that there is a common point (blue and yellow) that should be considered for identifying the correct key. As none of the given colors match "Blue + Yellow", we may consider that these terms are indicating a reference to other objects or external factors (e.g., a third doll with a blue and yellow color combination).
However, since we have no further context or information regarding any external objects, our focus will remain on the provided options. The only remaining possibility is to find a connection within the mentioned colors themselves. In this case, we can try to identify if there's any relation between the three colors that could help us understand the correct key.
One interesting aspect to consider is that the note uses the term "Yellow" explicitly, which is one of the presented key colors. This could potentially indicate a clue to the solution. If we assume that the note relates to the given colors in some way, it might suggest an operation, such as combining the key colors or their sum.
For example, adding the red, yellow, and green values could result in 1 (Red), 6 (Yellow), and 4 (Green), respectively. Combining these numbers leads to 11. Since there is no reference to "11" in the provided information, this doesn't seem like the intended way to identify the correct key.
Another possibility is to consider the differences between the colors. The difference between Red, Yellow, and Green is 5 (Green - Red), 2 (Yellow - Green), and</t>
  </si>
  <si>
    <t>1d1</t>
  </si>
  <si>
    <t xml:space="preserve"> Step 1: Key clues - 3 dolls, red, yellow, green, each with a key, only one key is correct, Blue+Yellow note
Step 2: Interpreting clues - The three colored dolls have a total of three keys, but only one of them is the correct one. The note mentions "Blue+Yellow", which could imply combination or association with colors, and potentially relates to the keys.
Step 3: Combining clues - Considering the given information, we can deduce that among the red, yellow, and green dolls, one has the correct key, which might involve some combination or association. Since there's the mention of "Blue+Yellow" in the note, we can try finding a connection between these colors and the keys. If we combine the primary colors (Red, Blue, and Yellow), we get Green - the color of another doll. This might suggest that the correct key could be related to the combination of the 'wrong' colors mentioned in the note, but the specific combination isn't clear. FINAL_ANSWER: &lt;Potential Answer&gt; The correct key might have a connection with a combination derived from Blue, Yellow, and Red, possibly using the process of elimination as those colors represent other dolls. To pinpoint the right key, further information would be required.</t>
  </si>
  <si>
    <t>1d2</t>
  </si>
  <si>
    <t xml:space="preserve"> Step 1: Key clues - 3 dolls (red, yellow, green), each with a key, only one key is correct, 'Blue + Yellow' note.
Step 2: Interpreting clues - The 3 dolls have different colors (red, yellow, green). They each have a key inside. Only one of these 3 keys is the right key for some purpose. The 'Blue + Yellow' note suggests combining two colors mentioned in the note (blue and yellow) might help identify the correct key.
Step 3: Combining clues - Since there are no direct links between the doll colors and their respective keys, we can only focus on the 'Blue + Yellow' note. Both blue and yellow are not among the given dolls' colors. However, green is close to yellow since they both belong to the primary colors palette. Therefore, the closest combination could be Green + Yellow (Green being similar to Yellow), which doesn't match any given color name. Considering the other options, the remaining colors are Red and Blue. We don't have enough information to determine which color corresponds to each key. Hence, we cannot definitively pinpoint the correct key without more information or additional clues.
FINAL_ANSWER: The given puzzle lacks sufficient details to determine where the correct key is. More context or clues would be necessary for a proper conclusion.</t>
  </si>
  <si>
    <t>1d3</t>
  </si>
  <si>
    <t xml:space="preserve"> Step 1: Identify all key clues in the puzzle.
- 3 dolls (red, yellow, and green)
- Each with a key inside
- One key is the correct key
- There is a note "Blue + Yellow"
Step 2: Interpret what each clue implies.
- The presence of 3 dolls with keys suggests that the keys might be used to unlock something or have a specific purpose.
- The statement about only one key being the correct key implies there are multiple options available, but not all are valid.
- The combination "Blue + Yellow" might be relevant to identifying the correct key or could represent an additional clue to solving the puzzle.
Step 3: Combine the clues to reach a conclusion.
- Since we know only one key is valid among the three dolls' keys, we can eliminate two keys by considering the remaining color.
- If we use the note "Blue + Yellow" to create a new color (Blue and Yellow make Green), then we are left with one key - the Green one, which corresponds to the last unidentified color among the dolls (Red, Yellow, and Green).
- The Green key is, therefore, the correct key.
FINAL_ANSWER: The correct key is the Green one.</t>
  </si>
  <si>
    <t>1v1</t>
  </si>
  <si>
    <t xml:space="preserve"> Step 1: Analyze the clues and options
- 3 dolls (red, yellow, green)
- Each has a key (inside it)
- One key is the correct key
- A note mentions "Blue + Yellow"
Step 2: Find possible solutions for the note
- "Blue + Yellow" could refer to either a combination of colors or adding their values. As there is no indication of any numerical context, we will consider both possibilities.
- Combining colors: Blue and Yellow can be combined to create Green (by mixing primary colors). So maybe Green is the right color for the correct key.
- Adding values: We can add the values of Blue and Yellow to find the value of Red. However, the colors don't have specific values associated with them.
Step 3: Evaluate the possible solutions against other clues
- Green is suggested by combining Blue and Yellow and potentially creating the correct key's color.
Step 4: Consider other information in the puzzle (e.g., each doll has a key) and make a final conclusion
- Since we only know one key is the correct key and the others are just "inside" the dolls but not mentioned in the note, it could be a different key that fulfills the note's requirement.
- We cannot confidently determine which key is the correct one based on the given information.
FINAL_ANSWER: No definite answer, more context needed</t>
  </si>
  <si>
    <t>1v2</t>
  </si>
  <si>
    <t xml:space="preserve"> Step 1: Identify all given information
- 3 dolls (red, yellow, green)
- Each has a key inside
- One key is the correct key
- Note says "Blue + Yellow"
Step 2: Analyze and reason
The clue "Blue + Yellow" could be interpreted in multiple ways, but let's break it down to understand different options.
Option 1: Combine 'Blue' and 'Yellow' as colors to deduce an answer. In this case, the color could be Green, as it is a mix of Blue and Yellow.
Option 2: Consider 'Blue' as a part of the color name (Blue Doll) and 'Yellow' as another part of it. This would mean the correct key is in the Yellow Doll or in the Blue Doll.
Option 3: Interpret 'Blue + Yellow' as an operation. In this case, it seems to sum some values, but there's no clear connection between the sum and the colors.
Step 3: Check each option for consistency with the rest of the given information.
Option 1: Green Doll is possible but doesn't provide a clear answer about the correct key.
Option 2: The Yellow Doll or Blue Doll both seem plausible. However, since only one key can be the correct one, we have to choose one of these two options. Let's consider Option 2 in the next step.
Option 3: The idea of summing values related to the colors doesn't fit well within the context.
Step 4: Choose a final answer based on the best-fitting option.
Final Answer: FINAL_ANSWER: Yellow Doll (or Blue Doll if you prefer Option 2)</t>
  </si>
  <si>
    <t>1v3</t>
  </si>
  <si>
    <t xml:space="preserve"> Solving normally: We have 3 dolls (red, yellow, green) with a key in each of them. We need to find the correct key among these. The given hint is "Blue + Yellow". Since it's just describing two colors, it might mean we have to consider the combination of blue and yellow from different dolls. Red has no blue or yellow keys, so we can eliminate that. Green has a yellow key, but the hint says 'Blue + Yellow', which means Green's yellow key doesn't count fully. Green also has a red key, making it impossible for its keys to be both blue and yellow. That leaves us only with the yellow doll, and its yellow key could be the correct one since it matches 'Blue + Yellow'. So, FINAL_ANSWER: &lt;Yellow key&gt;
Checking if our answer satisfies all clues: The puzzle talks about a single correct key among the 3 dolls. In our solution, we found one possible key (yellow key) by considering the hint. However, this could still leave other possibilities unchecked. We cannot definitively conclude that the yellow key is the correct key without more information. Therefore, adjust our reasoning: FINAL_ANSWER: &lt;Unable to determine the exact correct key without additional information&gt;</t>
  </si>
  <si>
    <t>1e1</t>
  </si>
  <si>
    <t xml:space="preserve"> Clues used: 
1. 3 dolls - red, yellow, green
2. Each has a key inside
3. One key is the correct key
4. There's a note stating "Blue + Yellow"
Reasoning: The clue "Blue + Yellow" could be related to the colors of the keys or the keys themselves. Since there is a total of 3 dolls, we can create possible combinations by adding any of the 3 colors (red, yellow, green) to the given 'Blue': Blue+Red, Blue+Yellow, Blue+Green. 
Since there's only a single correct key mentioned and there are no explicit instructions about the color combinations in the note, we cannot deduce the right key combination based solely on this information. So FINAL_ANSWER: Unable to determine the correct key with provided information.</t>
  </si>
  <si>
    <t>1e2</t>
  </si>
  <si>
    <t xml:space="preserve"> Clues used: 
1. 3 dolls on the table - red, yellow, green
2. Each doll has a key inside
3. Only one key is the correct key
4. Note says "Blue + Yellow"
Reasoning based on clues: The note says to combine two colors. Since there is no blue doll mentioned, we can assume it's not a reference to a specific doll but rather to use the colors themselves. Combining blue and yellow gives us green. We know there's only one correct key, and the clue given in the note matches the color of the green doll. Therefore, the correct key is likely inside the green doll. FINAL_ANSWER: &lt;Answer&gt; Green Doll</t>
  </si>
  <si>
    <t>1e3</t>
  </si>
  <si>
    <t xml:space="preserve"> Clues used: 
1. 3 dolls on the table - Red, Yellow, Green
2. Each doll has a key inside of it
3. One key is the correct key
4. Note says "Blue + Yellow"
Reasoning: Since we don't have any specific information about which colors are related to which keys or the correct key, we can only analyze what we have. The note mentions "Blue + Yellow," which indicates that two of the mentioned colors (Blue and Yellow) should be combined in some way. However, there isn't a blue or blue-colored doll among them. Therefore, we need to focus on the dolls with Yellow color or its combination. The only other option left is the Green doll since it's the only remaining non-Yellow color. The Green doll also has a key, so it could potentially hold the correct key because the note suggests a connection between Yellow and the final key. FINAL_ANSWER: The correct key might be in the Green doll, but we still lack complete information about the relationship between colors and keys. Further details may be needed for a more accurate conclusion.</t>
  </si>
  <si>
    <t>1g1</t>
  </si>
  <si>
    <t xml:space="preserve"> Clue 1: There are 3 dolls on the table, red, yellow, green, each with a key inside of it. This tells us there is a table with 3 dolls: red, yellow and green. Each of them has an individual key.
Clue 2: Only one key is the correct key. The significance of this is that out of the three keys (inside the red, yellow and green dolls), one of them is the right/correct key while the other two are not.
Clue 3: There is a note that said "Blue + Yellow". This implies that we need to perform some operation on the colors 'blue' and 'yellow' mentioned in the note. We are looking for some hint or connection related to the colors or their combination, which could possibly guide us in finding the correct key.
To find the final answer, considering all the clues provided, we can infer that since both 'blue' and 'yellow' are part of the note but not present as physical dolls, the task may involve a color connection to one of the existing dolls, red, yellow, or green. There might be a correlation between these colors and the keys. 
FINAL_ANSWER: We cannot determine the exact answer without additional context or clues connecting the colors to the keys. More information is needed.</t>
  </si>
  <si>
    <t>1g2</t>
  </si>
  <si>
    <t xml:space="preserve"> Clue 1: There are 3 dolls on the table, red, yellow, green, each with a key inside of it. Each doll has a different color and a key.
Clue 2: Only one key is the correct key among them. It's a challenge to find which one is the right one.
Clue 3: There is a note that said "Blue + Yellow". This provides some information but doesn't explicitly mention which key it's related to.
To solve the puzzle: We need to identify the correct key among the three available keys (red, yellow, and green). The given note, "Blue + Yellow", could potentially refer to combining two colors or connecting the corresponding dolls to their respective colors for some reason.
However, without any further clues or context, we can't definitively conclude which key is the correct one. So, we can only provide a potential answer based on the given information:
POTENTIAL_ANSWER: The correct key might be connected with the combined colors "Blue + Yellow" or linked to the associated doll colors - Red, Yellow, Green. We need more context to determine the final key accurately.</t>
  </si>
  <si>
    <t>1g3</t>
  </si>
  <si>
    <t xml:space="preserve"> First, let's gather all the clues:
1. There are 3 dolls on the table, red, yellow, green, each with a key inside of it.
2. Only one key is the correct key.
3. There is a note that said "Blue + Yellow".
Now we need to interpret these clues:
1. We have three dolls, each one has a specific color and also a key within it.
2. Among the keys, there's just one key that would open up the intended target.
3. The note provides two colors, Blue and Yellow, which seem to be related to the keys in some way.
To solve the puzzle, we must find the connection between the colors mentioned in the note and the key locations of the three dolls. We can deduce by understanding what the '+' sign could represent. In this case, it could imply addition or perhaps even joining, indicating that the color combination needs to come from at least two different colors. 
Looking at the colors in the puzzle, the only color not used in the note is 'Red'. So combining Red + Blue or Red + Yellow might lead to the correct key location.
However, considering the context and the order of the colors in the note, it seems more likely that 'Blue + Yellow' will work as it's the exact order given. 
So, FINAL_ANSWER: The correct key is either found on the doll with Red or the one with Yellow.</t>
  </si>
  <si>
    <t>1s1</t>
  </si>
  <si>
    <t xml:space="preserve"> Relationships:
- Red, Yellow, Green are dolls (D1, D2, D3)
- Each has a key inside (K1 in D1, K2 in D2, K3 in D3)
- One key is the correct key (C1)
- Note says "Blue + Yellow" (combine Blue and Yellow to find other colors)
- Blue and Yellow colors have corresponding dolls (B in D2, Y in D3)
Solution:
- Combine colors: Blue and Yellow (B and Y)
- Locate them in dolls: B in D2, Y in D3
- Look for their keys: K2 in D2, K3 in D3
FINAL_ANSWER: &lt;The correct key is not among the mentioned dolls&gt;</t>
  </si>
  <si>
    <t>1s2</t>
  </si>
  <si>
    <t xml:space="preserve"> First, we translate the given relationships and their respective connections:
1. There are 3 dolls on the table (dolls are on the table) -&gt; Doll1, Doll2, Doll3 &lt; OnTable
2. Each has a color (colors of dolls) -&gt; ColorDoll1, ColorDoll2, ColorDoll3
   - ColorDoll1 = Red
   - ColorDoll2 = Yellow
   - ColorDoll3 = Green
3. Each has a key inside it (keys inside dolls) -&gt; KeyDoll1, KeyDoll2, KeyDoll3
4. Only one key is the correct key (only one correct key exists) -&gt; CorrectKey
5. Blue + Yellow indicates the combination to find the correct key (Blue and Yellow combine to find the correct key) -&gt; (Blue or Yellow) + (Yellow or Blue)
Now, we'll use the relationships to analyze the puzzle by solving step-by-step:
Step 1: Find the combined colors which might represent the correct key.
   - Blue + Yellow can be represented as Blue or Yellow or both (Blue or Yellow).
   - Both dolls with these colors (Yellow and Green) have keys.
Step 2: Identify the doll representing the combined colors (Blue or Yellow).
   - We have two options: Doll2 (Yellow) and Doll3 (Green).
Step 3: Compare the keys in those dolls.
   - KeyDoll2 (Yellow's key) is not the correct key.
   - KeyDoll3 (Green's key) is also not the correct key.
Step 4: Since neither of the identified dolls had the correct key, we need to reevaluate the given information and puzzle structure. The note's mention of "Blue + Yellow" might not necessarily mean it's about combining colors. The + sign could potentially refer to the concept of 'and'.
Step 5: Evaluate the new perspective.
   - If 'and' refers to the connection between Blue and Yellow as well as Red, then only one of them should have a unique connection.
Step 6: Determine which doll has a unique connection among Red, Yellow, and Green.
   -</t>
  </si>
  <si>
    <t>1s3</t>
  </si>
  <si>
    <t xml:space="preserve"> We can break down the puzzle into its components and relationships using various types of connections. Here's a simplified representation:
1. There are three dolls: Red, Yellow, Green.
2. Each has a key (inside or not specified).
3. The keys can be Red, Yellow, Green, Blue.
4. One of the keys is the correct key.
5. There is a note that says "Blue + Yellow".
Now let's use logical relationships to represent these statements in a structured format.
Dolls - Relationship - Keys
Red - Has - Key1 (Type: Red)
Yellow - Has - Key2 (Type: Yellow)
Green - Has - Key3 (Type: Green)
Note - Involves - Dolls - Doll1 (Type: Blue) and Doll2 (Type: Yellow)
Goal - Identify - Correct Key
Solving the puzzle by following the relationships step by step:
1. Find the dolls involved in the note: Blue (Doll1) and Yellow (Doll2).
2. Check the mentioned keys in those two dolls: Blue has Key1 (red) and Yellow has Key2 (yellow).
3. Identify the correct key among the three keys. Since there's no further information about their compatibility or connection, we need to determine which key fits the context given.
4. In this case, it's reasonable to assume that the correct key can be a combination of the keys from the two mentioned dolls. So, mixing Key1 (Red) and Key2 (Yellow), we get the new key: "Red+Yellow".
5. Evaluate if "Red+Yellow" is one of the existing keys (Red, Yellow, Green, Blue). It doesn't match any of them directly but it seems like a mix of red and yellow, so it could be a potential new key. If this was not mentioned in the puzzle, we would have no other way to know for sure.
6. The final step is to identify the actual correct key. Since we don't have any specific information on the "Red+Yellow" key, we have to assume it as a possible answer.
FINAL_ANSWER: Red+Yellow</t>
  </si>
  <si>
    <t>2z1</t>
  </si>
  <si>
    <t>There are 3 dolls on the table, red, purple, green, each with a key inside of it. Only one key is the correct key. There is a note that said "Blue + Yellow". Where is the correct key?</t>
  </si>
  <si>
    <t xml:space="preserve"> The final answer is that the correct key could be inside any of the 3 dolls (red, purple, or green) as there is not enough information given to determine which of them has the Blue+Yellow combination. It's only mentioned they should find the right key using the combination, but no clear relationship was established between the colors and keys in this context.</t>
  </si>
  <si>
    <t>2z2</t>
  </si>
  <si>
    <t xml:space="preserve"> The final answer is not explicitly given in the provided information, as there is no direct relationship between the colors mentioned (blue and yellow) and the keys in the dolls. We would need more context or clues to determine which doll has the correct key.</t>
  </si>
  <si>
    <t>2z3</t>
  </si>
  <si>
    <t xml:space="preserve"> The final answer is that the correct key is likely not among the given dolls since they have colors like red, purple, and green while the note mentions 'Blue + Yellow'. To find the right key, more information about the colors or other clues might be needed.</t>
  </si>
  <si>
    <t>2c1</t>
  </si>
  <si>
    <t xml:space="preserve"> To solve this puzzle step by step, we need to analyze all the information given and try to deduce the relevant meaning behind it. We have three dolls - red, purple, and green - each having a key inside them. One of these keys must be the correct key mentioned in the note. The note says "Blue + Yellow." To understand what it means, we need to look for any clues or possible interpretations. It's important to note that there is no reference to the colors blue and yellow within the given details about the dolls and their keys. However, we can consider that 'blue' and 'yellow' might represent two separate entities, rather than literal colors, as they seem to be added together in the note. 
Considering the context provided, one plausible interpretation could be that 'blue' is representing the color of one of the dolls (red or purple), while 'yellow' could be representing the color of another doll (green). Since we want to determine which key is the correct one, we should identify the relationship between these 'colors' and the keys.
Given our reasoning above, we can now analyze the colors to see if they correspond to the dolls in a meaningful way. Let's assume 'blue' refers to the red or purple doll, and 'yellow' represents the green doll. If we take the note's statement "Blue + Yellow" at face value, it seems to imply a combination. In this case, the correct key might be related to the combined key from the two relevant dolls. So, we can check the keys in the red and green dolls, since red and green are not involved in the note. Finally, we can focus on the remaining doll with its color represented by either 'blue' (red) or 'yellow' (purple).
Now, let's find the final answer: The correct key is inside the green doll because it was not mentioned in the note. The red and purple dolls' keys were excluded due to their colors being linked to 'blue' and 'yellow.' Therefore, the green key holds the correct key.</t>
  </si>
  <si>
    <t>2c2</t>
  </si>
  <si>
    <t xml:space="preserve"> To solve this puzzle step by step, let's analyze the given information and try to find a logical solution based on the clues provided.
1. We have 3 dolls with keys: red, purple, and green.
2. One key is the correct key out of these three.
3. A note says "Blue + Yellow."
Now, we must establish a connection between the doll colors and the note. It seems that the note combines two colors (blue and yellow) which also creates another color (green). This suggests that the note might be related to the dolls' colors in some way.
Since the note doesn't directly mention any of the dolls, we can assume that the blue and yellow refer to the colors that form the green key. Green is the only doll with a color mentioned in the note.
Therefore, the correct key is the green one, as it has a connection to the "Blue + Yellow" combination mentioned in the note. The reasoning behind this conclusion is based on the assumption that the note provided a hint about finding the correct key by relating it to the colors of the dolls.
Final Answer: The correct key is the green one since it forms a connection with the "Blue + Yellow" combination mentioned in the note, representing the formation of the green color.</t>
  </si>
  <si>
    <t>2c3</t>
  </si>
  <si>
    <t xml:space="preserve"> To solve this puzzle, we need to understand the given information and use logic to determine which key is the correct one.
1. There are 3 dolls on the table: red, purple, and green.
2. Each doll has a key inside of it.
3. Only one of these keys is the correct key.
4. There is a note mentioning "Blue + Yellow". However, there is no explicit connection made between the colors and the keys in the dolls.
Now, let's analyze possible connections between colors and keys. Since we don't have any clues regarding specific colors or their roles, we can only make assumptions based on general knowledge. For example, blue and yellow can be combined to form a color (green). This could potentially be related to the color of a doll holding the correct key.
While we still don't have enough information to definitively say that this reasoning is correct, let's assume it might point towards the green doll as a starting point. Since the green doll is not mentioned explicitly, we can't be certain either way.
Since we must make some assumptions to get closer to a solution, we can infer that the correct key might be related to the green doll, possibly as a result of the "Blue + Yellow" reference. If the green doll represents a combination of blue and yellow, it could potentially have the right key.
However, please keep in mind that this is based on assumptions and doesn't provide a definitive answer. Without more context or information, it is impossible to determine the exact location of the correct key with certainty.</t>
  </si>
  <si>
    <t>2d1</t>
  </si>
  <si>
    <t xml:space="preserve"> Step 1: Identify all key clues in the puzzle.
- 3 dolls: red, purple, green
- Each doll has a key inside
- Red, purple, and green keys are not the correct key
- Only one key is the correct key
- Note says "Blue + Yellow"
Step 2: Interpret what each clue implies.
- The three colors mentioned (red, purple, green) correspond to the keys found within the correspondingly-colored dolls.
- Since there is only one correct key, the other two keys do not fit the necessary criteria.
- The "Blue + Yellow" note could be used as some kind of clue or combination needed for finding the correct key.
Step 3: Combine the clues to reach a conclusion.
- To identify the correct key, we need to figure out which key from the given options might match the "Blue + Yellow" hint.
- We cannot directly find any connection between these key combinations and the colors or dolls mentioned in the puzzle.
FINAL_ANSWER: &lt;Answer&gt; Unable to provide a definite conclusion based on the given information. Further context might be required to connect the given clues with the "Blue + Yellow" hint.</t>
  </si>
  <si>
    <t>2d2</t>
  </si>
  <si>
    <t xml:space="preserve"> Step 1: Key clues - 3 dolls (red, purple, green), keys (red, purple, green), one key is the correct key, note (blue + yellow).
Step 2: Interpret each clue:
- 3 dolls with their respective colors - red, purple, green
- Each doll has a specific key (key colors match doll colors)
- One key is the correct key
- The note suggests combining blue and yellow to get something related to the puzzle
Step 3: Combine the clues to reach a conclusion: Since we have 3 different colored dolls (red, purple, green) and each has a specific key with the same color (red key in red doll, etc.), we can infer that the correct key might be associated with a combination of these colors. The note also mentions "Blue + Yellow", which could be a hint pointing towards another potential color. However, it's not explicitly stated to be the correct key. We don't have enough information to definitively say where the correct key is. So, after analyzing all the clues, we are unable to provide a clear final answer as there could be multiple interpretations based on the given information.
FINAL_ANSWER: Unable to determine the exact location of the correct key due to insufficient information.</t>
  </si>
  <si>
    <t>2d3</t>
  </si>
  <si>
    <t xml:space="preserve"> Step 1: Key clues in the puzzle - number of dolls (3), colors (red, purple, green), keys (inside dolls), only one correct key, 'Blue + Yellow' note.
Step 2: Interpreting clues:
- 3 dolls: they have different colors and contain a key each.
- Red, purple, green: colors of the dolls.
- Keys inside: each doll has a distinct key which might be part of a solution.
- One correct key: among the three keys, one must unlock something significant.
- 'Blue + Yellow' note: this could possibly relate to the colors or other elements within the puzzle.
Step 3: Combining clues:
- The color 'Blue + Yellow' indicates it might be related to a new color, created by mixing the two (blue-green = cyan and yellow-red = orange).
- The other two potential colors missing from the list are blue and yellow.
- Since there are no specific clues about these colors in the setup, we can assume that the 'Blue + Yellow' note refers to the fact that the missing colors are blue and yellow.
FINAL_ANSWER: &lt;Answer&gt; The correct key is the green key, as it doesn't relate to blue or yellow. However, it remains a potential key for the overall puzzle solution, along with the other two keys.</t>
  </si>
  <si>
    <t>2v1</t>
  </si>
  <si>
    <t xml:space="preserve"> To solve the puzzle normally, we can consider each part individually. We have 3 dolls - red, purple, and green, each with a key inside. One of these keys will be the correct key. A note states "Blue + Yellow". We should use this information to find the color where blue and yellow combine. There's a color blue in RYB (Red-Yellow-Blue) color model, which when combined with Yellow results in Orange. So Orange should be the color corresponding to Blue and Yellow. Finally, we need to find the correct key among the available colors (red, purple, green). Since none of them are orange, there's no direct correlation. Therefore, we don't have enough information to determine the correct key.
FINAL_ANSWER: No Answer found, likely due to lack of information connecting the key colors and the mentioned note.</t>
  </si>
  <si>
    <t>2v2</t>
  </si>
  <si>
    <t xml:space="preserve"> We have 3 dolls with 1 key being the correct one among these 3 keys. Since there are no other options provided to find the correct key, we'll simply analyze the color combinations in the given puzzle. 
Step 1: Identify the colors - Red, Purple, Green
Step 2: Combine the colors according to the given note - "Blue + Yellow"
- The combination can be formed using Blue or Yellow with any of the given colors.
- For instance, Yellow+Green gives us Yellow-Green which is a mix of Yellow and Green.
- Similarly, Blue+Red gives us Blue-Red (a mix of Blue and Red).
FINAL_ANSWER: Blue-Red Key</t>
  </si>
  <si>
    <t>2v3</t>
  </si>
  <si>
    <t xml:space="preserve"> Let's solve this step by step. We have 3 dolls, and we need to find the doll with the correct key. Firstly, identify the colors (red, purple, green) and the unique combination mentioned in the note ("Blue + Yellow"). These colors represent the RGB color model.
Now, let's find a logical connection between these colors. In the RGB model, each color has a corresponding value from 0 to 255. Red has values (255,0,0), Green (0,255,0), and Blue (0,0,255). Yellow can be created by adding R and G, which results in Red+Green=(255,255,0).
Since there are three colors and only one represents the correct key, let's combine them using summation, i.e., adding all the three-color values. The sum of all RGB values is (255,255,0) + (0,255,0) + (0,0,255) = (255,256,255). The last two numbers don't coincide with any existing color, but let's identify these as Purple and Red. So, the correct key might be in the Purple or Red doll.
Now, let's analyze the given information about the dolls' keys: They have a unique key each. Hence, it's incorrect to assume that their color corresponds to the combination in the note. Let's reevaluate the puzzle by trying to understand which key in the note is actually missing.
The note says "Blue + Yellow", but it doesn't have the sum of Blue and Yellow. The sum should be (0,0,255) + (0,255,0) = (0,255,255), which is very close to Red. 
Considering the misconception about the colors' correspondence with the keys, we can assume the correct key is related to the unaccounted combination that would match the given note's sum. This would be (0,255,255) or Red, which closely matches the mentioned sum of Blue and Yellow.
FINAL_ANSWER:</t>
  </si>
  <si>
    <t>2e1</t>
  </si>
  <si>
    <t xml:space="preserve"> Clue List:
1. 3 dolls - red, purple, green
2. Each doll has a key inside
3. Only one key is the correct key
4. A note says "Blue + Yellow"
Reasoning: The puzzle doesn't directly mention the colors of the keys or which key is the correct one. Also, there is no relation between the colors 'red', 'purple', 'green' and the 'blue' and 'yellow' mentioned in the note. Thus, we cannot determine which doll's key is the right one based on these clues. Therefore, FINAL_ANSWER: &lt;The puzzle doesn't provide enough information to find the correct key&gt;</t>
  </si>
  <si>
    <t>2e2</t>
  </si>
  <si>
    <t xml:space="preserve"> Clues used: 
1. 3 dolls on the table - red, purple, green.
2. Each doll has a key inside of it.
3. One key is the correct key.
4. There is a note that said "Blue + Yellow".
Reasoning based on clues: We know there are three dolls and each has a key. We also have a note telling us to sum the colors Blue and Yellow. Since Blue and Yellow don't relate to Red, Purple, or Green, we can assume that the colors mentioned in the note do not determine which key is correct. The only remaining detail is that only one key is the correct one. There is no other information given about the keys themselves or their significance. However, since all details provided don't help to identify the right key, it's impossible to find the exact location of the correct key within the given context. FINAL_ANSWER: Unable to determine the correct key's location due to insufficient clues.</t>
  </si>
  <si>
    <t>2e3</t>
  </si>
  <si>
    <t xml:space="preserve"> Clues provided:
1. 3 dolls on the table - red, purple, green
2. Each has a key inside
3. Only one key is the correct key
4. Note says "Blue + Yellow"
Reasoning: The clues do not provide any direct information about which key is the correct one. We only have a reference to a different combination in the note, but it does not relate to the keys or their colors. Therefore, we cannot determine where the correct key is based on these clues. FINAL_ANSWER: Answer cannot be determined using given clues.</t>
  </si>
  <si>
    <t>2g1</t>
  </si>
  <si>
    <t xml:space="preserve"> 
1. Clues: There are 3 dolls on the table, red, purple, green, each with a key inside of it. Only one key is the correct key. There is a note that said "Blue + Yellow". Where is the correct key?
2. Interpretation: The puzzle gives us information about three dolls with different colors (red, purple, and green) having keys inside them. These keys are all unique, and there is one correct key among them. There's also a note with instructions which says to combine 'Blue' and 'Yellow'. This is meant to guide in finding the right key.
3. Solution: Considering the given clues, we need to find the correct key that aligns with the combined 'Blue + Yellow' instruction. Among the colors of the dolls, there are no direct combinations that relate to 'Blue' and 'Yellow', but since 'Red + Purple = Blue' and 'Green + Yellow = Lime', the color 'Lime' is a closer representation to the sum of 'Blue' and 'Yellow'. However, we don't have a lime-colored doll. To match this color, we can look at the other available options in the given context. Out of the remaining two options, 'Red' and 'Purple', combining their names could result in 'Purplish Red', which is similar to the combination of 'Blue' and 'Yellow'. In summary, the likely location of the correct key would be in the 'Purplish Red' doll. FINAL_ANSWER: Purplish Red</t>
  </si>
  <si>
    <t>2g2</t>
  </si>
  <si>
    <t xml:space="preserve"> 
1. Clue list: 
   - 3 dolls: red, purple, green
   - each with a key inside of it
   - only one key is the correct key
   - there is a note that said "Blue + Yellow"
2. Interpretation: 
   - The 3 dolls have keys inside, each color signifying the doll's key
   - One of them must be the correct key
   - The note gives a hint "Blue + Yellow" and could be related to the colors of the dolls.
3. Solution: To find the correct key, we need to understand what the "Blue + Yellow" note means in the context of the colors of the dolls. Since it involves two colors from the given set (red, purple, green), we can eliminate blue since there's no mention of blue. We're left with red and purple. Let's combine these colors: Red + Purple = Indigo. 
   - Now we have to identify which of the remaining options represents Indigo. Green is still there but has no correlation to Indigo. Therefore, this implies that the color of the correct key is Red. 
   FINAL_ANSWER: Red</t>
  </si>
  <si>
    <t>2g3</t>
  </si>
  <si>
    <t xml:space="preserve"> Clue Analysis:
1. There are 3 dolls (Red, Purple, Green) on the table each with a key inside of it.
2. Each key has its own color (red, purple, green).
3. Only one key is the correct key among the three mentioned.
4. There's a note with message "Blue + Yellow". This implies there's a possible correlation between the colors and the notes, potentially leading to solving the puzzle.
Solution: We need to find the relationship between the colors mentioned in the note and the keys' colors. "Blue + Yellow" results in "Green", which is the same as one of the color-coded keys - the Green key. Since there's only one correct key among them, we can assume "Green" is the correct key.
FINAL_ANSWER: Green Key</t>
  </si>
  <si>
    <t>2s1</t>
  </si>
  <si>
    <t xml:space="preserve"> First, we will create variables and their associations based on the given puzzle information.
1. The subject is 'dolls' - The table has three dolls (red, purple, and green)
2. Each doll has an attribute - color (red, purple, green)
3. Each doll has an additional attribute - the presence of a key inside of it
4. One of the keys represents the correct key
5. Blue and Yellow represent a connection or operation
6. The goal is to find the location of the correct key
7. Answers need to be presented in a specific format: FINAL_ANSWER: &lt;Answer&gt;
Now we can organize this into a structure.
Dolls:
  - Red (Color: Red, Key: PossibleKeyA)
  - Purple (Color: Purple, Key: PossibleKeyB)
  - Green (Color: Green, Key: PossibleKeyC)
  - CorrectKey (KeyType: CorrectKey)
Connections:
  - Blue (Operation: Operation1, Connection: Blue)
  - Yellow (Operation: Operation2, Connection: Yellow)
  - Operation1 &amp; Operation2 are connected (Connection: Blue+Yellow)
Solving the Puzzle:
To solve the puzzle, we need to find out which key is the correct one. Since the goal involves connecting Blue and Yellow, let's first establish those relationships.
- Blue:
  1. Blue -&gt; Operation1
  2. Operation1 -&gt; Operation2
  3. Operation2 -&gt; Yellow
- Yellow:
  1. Yellow -&gt; Operation2
  2. Operation2 -&gt; Operation1
  3. Blue -&gt; Operation1
We now have established that Blue is related to Yellow through Operations 1 and 2, forming a closed loop.
To determine the connection between the colored dolls and the note, let's make another connection for each color:
- Red:
  1. Red -&gt; CorrectKey
- Purple:
  1. Purple -&gt; CorrectKey
- Green:
  1. Green -&gt; CorrectKey
Since all keys are possible keys (PossibleKeyA, PossibleKeyB, and PossibleKeyC), it's</t>
  </si>
  <si>
    <t>2s2</t>
  </si>
  <si>
    <t xml:space="preserve"> Convert the puzzle into structured relationships:
1. Three dolls (red, purple, green) are present on the table.
2. Each doll has a specific color (red, purple, green).
3. Every doll has an internal key.
4. Exactly one key is the correct key.
5. The note gives a combination (Blue + Yellow).
6. The goal is to find the location of the correct key.
Solve the puzzle using the given structure:
To find the correct key, we first need to identify any connection between the given information and the provided combination. The only connection can be found in the red color which matches both Blue and Red. Therefore, the correct key is most likely in the red-colored doll.
FINAL_ANSWER: Red</t>
  </si>
  <si>
    <t>2s3</t>
  </si>
  <si>
    <t xml:space="preserve"> First, let's break down the given relationships.
1. There are 3 dolls on the table: red, purple, green
   Relationship: Doll(red) || Doll(purple) || Doll(green) --&gt; Doll1(red), Doll2(purple), Doll3(green)
2. Each doll has a specific color: red, purple, green
   Relationship: Color(Doll1) = Red &amp;&amp; Color(Doll2) = Purple &amp;&amp; Color(Doll3) = Green
3. Each doll has a key inside of it: red, purple, green
   Relationship: Key(Doll1) = Key1 &amp;&amp; Key(Doll2) = Key2 &amp;&amp; Key(Doll3) = Key3
4. Only one key is the correct key
   Relationship: CorrectKey = One(Key)
5. There is a note with "Blue + Yellow"
   Relationship: Note("Blue" + "Yellow")
Now that we have translated the puzzle into structured relationships, let's solve for the final answer. Since there isn't enough information given to determine which doll or key matches the colors Blue and Yellow, we can't find the correct key using this structure alone. We need more clues or assumptions about the connection between the dolls' colors and the keys' colors to pinpoint the correct key.</t>
  </si>
  <si>
    <t>3z1</t>
  </si>
  <si>
    <t>You are in a hallway with 3 doors, number 1, 2 and 4. A sign on the wall says: "The correct exit is quite odd". Which is the correct door?</t>
  </si>
  <si>
    <t xml:space="preserve"> The given information doesn't have enough clues to determine the exact door as "odd" can be interpreted in various ways. It could refer to an uncommon or unusual number, a specific emotion or feeling related to a door, or any other unique characteristic. We need more context to solve this puzzle accurately.</t>
  </si>
  <si>
    <t>3z2</t>
  </si>
  <si>
    <t xml:space="preserve"> The final answer would be Door Number 4 as it's considered 'odd' among the other two even numbers, 1 and 2.</t>
  </si>
  <si>
    <t>3z3</t>
  </si>
  <si>
    <t xml:space="preserve"> The final answer is Door 4. Since the statement says the correct exit is "quite odd" which means unusual or unique. Out of the given numbers, 1, 2, and 4, 4 is the odd one as the others are even. So, Door 4 is the one that matches the description of being "quite odd."</t>
  </si>
  <si>
    <t>3c1</t>
  </si>
  <si>
    <t xml:space="preserve"> To solve this puzzle, we need to consider the information given and analyze it to determine which door is the correct exit based on the statement "The correct exit is quite odd."
Step 1: Identify the possible options
There are only three doors mentioned (Doors 1, 2, and 4), so we can start by eliminating the less probable options. In this case, we can assume that the correct door will have some unusual or uncommon characteristic.
Step 2: Eliminate the normal options
Let's think of the commonly used terms for door numbers. Since we have Door 1, Door 2, and Door 4, we might expect to find Door 3 missing, as it is a typical pattern to skip numbers when labeling items in a series. This would make Door 3 an odd one out, making it more likely to be the correct exit.
Step 3: Evaluate remaining options
We are left with two options - Door 1 and Door 4. Considering that the statement mentioned "odd," we could analyze which door has a more unique characteristic.
Door 1: It represents the starting point, with the number 1 being a common beginning in many contexts. There isn't anything particularly odd about Door 1.
Door 4: While not uncommon, Door 4 still has a distinct quality compared to the more typical Doors 1 and 2. It has an even-numbered pattern break in the series and is not commonly referred to as a traditional 'exit.' This makes Door 4 potentially more aligned with the description of being 'quite odd.'
Final Answer: Based on our analysis of the unusual nature of both numbers 3 and 4, it seems that the correct exit may be Door 4. The reasoning behind this choice revolves around considering both the absence of Door 3, which would make Door 3 the oddest door, and the distinctive characteristic of Door 4 as an 'odd' number in the sequence (which is less common than 1 or 2). Although it's not entirely certain, Door 4 appears to be a more fitting answer based on the given information and understanding of the statement "The correct exit is quite odd."</t>
  </si>
  <si>
    <t>3c2</t>
  </si>
  <si>
    <t xml:space="preserve"> Let's analyze the given information step by step to determine the correct door.
1. The problem states there are three doors labeled as 1, 2, and 4.
2. There is a sign that reads "The correct exit is quite odd." This statement has a double meaning. It could be interpreted in two ways - either the correct door is not very common or it might be related to something being odd when referring to the way the correct exit is obtained.
Considering these possible interpretations, let's evaluate each scenario:
1. If the "correct exit" refers to a door that is less common, then doors 1 and 4 (number 2 is the most common one) might be potential candidates for the correct door. However, the statement doesn't emphasize on the frequency of use for the doors. So, it's possible but not definitive.
2. If the "correct exit" means something unusual about the way you get to the exit, this might mean the right door doesn't follow conventional paths. In this case, all doors can potentially have different routes, so there's no clear answer based solely on these attributes.
Given the ambiguity of the statement and the lack of more specific information, it is difficult to pinpoint the exact correct door from the given choices without additional context. The only thing we can do is make an educated guess based on the available options.
Answer (educated guess): The correct door may be either number 1 or 4, as they are less common compared to door 2. However, without further context or details, it is uncertain which one exactly aligns with the description "the correct exit is quite odd".</t>
  </si>
  <si>
    <t>3c3</t>
  </si>
  <si>
    <t xml:space="preserve"> To solve this puzzle step-by-step, let's analyze the given information and break it down to understand the context better. We have three doors labeled as 1, 2, and 4. The statement "The correct exit is quite odd" hints at the idea that something about the correct door might be unusual or not what one would expect.
Now, let's look for any more explicit clues or deduce some possible scenarios based on the information provided. Since there is no other clue given apart from the phrase "quite odd," we can only infer that the correct door may be unexpected due to its number, location, appearance, or purpose.
Given these deductions, we should consider each possibility while trying to find a fitting explanation. For example, if the correct door's number is relatively odd, Door No. 3 could be the right one. However, since there are no other numbers mentioned besides 1, 2, and 4, we don't have enough evidence to assume so.
We can also think about the locations of the doors. Are they laid out in a specific pattern or order that might make one of them appear more unusual? In a scenario where the doors are arranged in a sequence like 1, 2, and 4, Door No. 3 would stand out as missing, which could make it the correct exit. Alternatively, if the doors were placed in a different pattern, the clue might point to a more unique characteristic within the sequence.
Lastly, the appearance or purpose of the doors could play a role in identifying the correct door. If Door No. 3 had a peculiar design or was used for a non-conventional purpose, it could be the intended exit.
Considering the lack of specific clues and various potential scenarios, determining the precise reasoning behind the "quite odd" exit can be difficult without more context or information. To provide an answer, we must make an educated guess based on the given data and the factors mentioned above.
Final Answer: The correct door is likely Door No. 3, considering that it potentially has an uncommon attribute or serves a unique purpose when compared to Doors No. 1 and 2. However, without more details or context about the setup, this is only one possible interpretation of the phrase "The correct exit is quite odd."</t>
  </si>
  <si>
    <t>3d1</t>
  </si>
  <si>
    <t xml:space="preserve"> Step 1: Identify all key clues in the puzzle.
- You are in a hallway with 3 doors (number 1, 2, and 4)
- The wall has a sign: "The correct exit is quite odd"
- No other information provided
Step 2: Interpret what each clue implies.
- You have options for exits, but you need to find the right one out of three
- The wording "The correct exit is quite odd" suggests that it might not be straightforward or logical which one is the correct exit among the given options
Step 3: Combine the clues to reach a conclusion.
- We know there are 3 doors labeled 1, 2, and 4
- The sign tells us the correct door is 'odd' which could imply an uncommon choice
- To make sense of 'odd,' we may consider the numbers as they could be viewed as uncommon or unexpected
- Since we are left to use logic, considering the oddness, door number 3 might be overlooked due to its absence in the given choices
Final Answer: FINAL_ANSWER: Door number 3 is most likely the correct door if we interpret the clue "odd" as referring to the missing number 3.</t>
  </si>
  <si>
    <t>3d2</t>
  </si>
  <si>
    <t xml:space="preserve"> Step 1: Key clues - 
- Number of doors (3)
- Door numbers (1, 2, 4)
- The presence of a sign
- Sign content ("The correct exit is quite odd")
Step 2: Interpretation -
- The sign suggests that the correct door can be unconventional or unexpected in some way.
Step 3: Combine the clues -
- There are three doors with numbers (1, 2, 4). We need to find an unconventional or unexpected choice.
- Door number 1 is not an odd number, neither is it a multiple of 3.
- Door number 2 is also not an odd number, nor a multiple of 3.
- Door number 4 is an even number.
- An odd exit could be one that is not even or not an expected door number (like 0 or 5)
FINAL_ANSWER: The correct door might not be labeled as 1, 2, or 4. Instead, there could be a hidden or unmarked option within the environment. Look for other potential exits apart from the given doors.</t>
  </si>
  <si>
    <t>3d3</t>
  </si>
  <si>
    <t xml:space="preserve"> Step 1: Key clues in the puzzle are: 
- A hallway with 3 doors (1, 2, and 4)
- A sign on the wall that reads "The correct exit is quite odd"
- The need to determine which is the correct door
Step 2: Interpretation of the clues:
- The presence of different doors and the need for finding an exit indicates that only one of these doors leads out of the place.
- The statement on the sign suggests that the 'odd' door might be the correct one since 'quite odd' could imply an unexpected or unusual characteristic.
Step 3: Combining the clues to reach a conclusion:
- Considering the information provided and the fact that 'odd' in the context of the sign's message could lead us to conclude that the 'unusual' nature of the door holds importance.
- We know there are only 3 numbered doors - 1, 2, and 4.
- Since we are looking for the 'correct exit', it's reasonable to think of the 'odd' door as a door that might not be perceived as suitable or typical but still serves as the exit.
- In this scenario, the odd door could be the least expected or uncommon choice among the available options.
Final Answer: FINAL_ANSWER: Door number 2 could be the correct exit as it is not the most intuitive choice. However, without more context or clues, it is impossible to know for certain if there is another hidden meaning to the puzzle that would potentially change the final answer.</t>
  </si>
  <si>
    <t>3v1</t>
  </si>
  <si>
    <t xml:space="preserve"> Analyzing the problem, we should find the 'odd' exit among three doors (1, 2, 4). Considering this, let's think about which options could be odd. Since odd usually means something surprising or not typical, we can eliminate normal doors. Therefore, it's more likely to be door 1 or 4 because they're not the expected numbers for a door. Let's go with door 1.
Final Answer: FINAL_ANSWER: Door 1</t>
  </si>
  <si>
    <t>3v2</t>
  </si>
  <si>
    <t xml:space="preserve"> To solve this puzzle, let's analyze the given information step by step. We know that there are three doors (numbered 1, 2, and 4) in a hallway, and we have to find the correct exit. The clue given is about the description of the right exit which states "The correct exit is quite odd". This suggests that the usual or common choices might not be the correct one. Therefore, we can consider the opposite or unconventional options.
Now, let's think about the given numbering of the doors. In general, we would expect an unconventional choice to be less obvious. Among the options provided, door number 3 is missing. It could be seen as odd due to its absence. So we'll choose door 3, which is not available on the list, as the final answer.
FINAL_ANSWER: Door 3 (the missing door)</t>
  </si>
  <si>
    <t>3v3</t>
  </si>
  <si>
    <t xml:space="preserve"> Solving the puzzle normally: The sign said to find an "odd" exit, which could mean that the normal or expected exits are numbered 1, 2, and 4, so it's more likely to be the "odd one out." Since there are only three numbers available, the "odd one out" might be the missing number. The sign does not say a specific door is the correct exit.
Checking if the answer satisfies all clues: The clue points towards finding an uncommon door. There's no mention of any other criteria such as doors being closed or opened, or any specific rule for selecting the "correct" door. However, since 3 is an odd number, considering an unnumbered door would also make it odd.
FINAL_ANSWER: Unnumbered door (or door 3) is the correct exit.</t>
  </si>
  <si>
    <t>3e1</t>
  </si>
  <si>
    <t xml:space="preserve"> Clues: There are 3 doors: 1, 2, and 4. A sign on the wall says "The correct exit is quite odd."
Reasoning: The description states that we have to find the correct exit (door) which is referred to as 'quite odd'. We need to find a door which seems strange or unusual among the given options. Since there is no other detail provided about these doors, we cannot relate it to anything specific. Therefore, any one of the doors could be considered an odd exit based on personal perception. However, it's also possible none of the doors are perceived as odd by someone else. Without further context, it is impossible to determine a unique answer that satisfies everyone. So, this puzzle does not provide enough information to pinpoint a specific correct door as 'odd'. FINAL_ANSWER: Due to lack of context and various perspectives, it is subjective to identify an odd exit among these doors.</t>
  </si>
  <si>
    <t>3e2</t>
  </si>
  <si>
    <t xml:space="preserve"> Clue list: 
1. Hallway with 3 doors (numbered 1, 2, and 4)
2. The correct exit is described as "quite odd"
Reasoning: Since the correct exit is being referred to as 'odd', it doesn't directly point to any specific door. However, considering the given information, we can infer that the unconventional nature of the correct exit should make it stand out among the other two options. As there are only three choices and no other details provided, we are left with the task of determining which door seems the oddest choice. We don't have enough information to make a solid conclusion, but we can assume that "door number 3" might be the most unexpected one since it's missing in the list. FINAL_ANSWER: Door number 3</t>
  </si>
  <si>
    <t>3e3</t>
  </si>
  <si>
    <t xml:space="preserve"> Clues: In a hallway with 3 doors (1, 2, and 4). A sign on the wall says "The correct exit is quite odd."
Reasoning: Since we have three doors numbered 1, 2, and 4, we need to find the one that is quite odd. The statement "The correct exit is quite odd" tells us that there is only one door out of these three that can be considered unusual or unique in some way. By considering these oddities, we can't find anything odd with numbers 1, 2, or 4, as they are typical door numbers. However, we notice that there is no door named "3." This omission makes door number 3 the odd one compared to the other doors.
FINAL_ANSWER: Door 3</t>
  </si>
  <si>
    <t>3g1</t>
  </si>
  <si>
    <t xml:space="preserve"> Clues:
1. You are in a hallway with 3 doors, number 1, 2 and 4.
2. A sign on the wall says: "The correct exit is quite odd".
3. Which is the correct door?
4. End with: FINAL_ANSWER: &lt;Answer&gt;
Solution: Since we have to find the 'odd' door among the given options (1, 2, and 4), let's list down their numerical values:
- 1 (1 = odd)
- 2 (2 is even)
- 4 (4 is even)
From the given options, we see that Door 1 is the odd numbered door. Therefore, the FINAL_ANSWER: &lt;Answer&gt; is: Door 1.</t>
  </si>
  <si>
    <t>3g2</t>
  </si>
  <si>
    <t xml:space="preserve"> Clues:
1. You are in a hallway with 3 doors, numbered 1, 2, and 4.
2. A sign on the wall says: "The correct exit is quite odd."
3. We need to find the appropriate door mentioned.
Solution:
To find the correct door, we need to understand the phrase "The correct exit is quite odd." This implies that the door which is less usual or unexpected might be the desired one. Since there are only three doors, we can analyze each one's properties:
Door 1: It's typical, as it has a number 1. There is no oddity about this door.
Door 2: It's the middle-numbered door, not oddly low or high in number.
Door 4: It's also a typical door with its even number.
There are no actual oddities in any of the numbers or positions of these doors. However, considering the meaning of the phrase "quite odd," we could interpret it to mean focusing on the least expected door instead. In this case, Door 2 is not usually thought of as an odd choice due to its central positioning and its relatively unremarkable number. Therefore, the solution is: FINAL_ANSWER: Door 2</t>
  </si>
  <si>
    <t>3g3</t>
  </si>
  <si>
    <t xml:space="preserve"> 
1. Clues:
- You are in a hallway with 3 doors, numbered 1, 2 and 4.
- A sign on the wall says: "The correct exit is quite odd".
2. Interpretation of the clues:
- The area has 3 doors labeled as numbers 1, 2, and 4. This means you need to identify the door you should take to leave.
- The sign on the wall provides further information about the situation by stating that "the correct exit is quite odd", which suggests that the door you need to pick might not be the one that seems usual or normal.
3. Using only these clues to solve the puzzle:
- Considering the given options for the doors, we have doors 1, 2, and 4. Since the sign tells us that the correct exit is quite odd, it may not be the typical even numbered door (2). This leaves us with door 1 (odd) and door 4 (even), but the sign emphasizes oddness. Therefore, we can infer the correct door must be an odd number, making door 1 the right choice.
FINAL_ANSWER: Door 1</t>
  </si>
  <si>
    <t>3s1</t>
  </si>
  <si>
    <t xml:space="preserve"> First, let's break down the relationships given in the puzzle. We have information about the positions of the doors (1, 2 and 4), which can be translated as "1 is not 2 or 4", "2 is not 1 or 4", "4 is not 1 or 2". These relationships can be represented by "&lt;n1, n2&gt;", where 'n1' and 'n2' represent two different door numbers. 
Next, we need to find the door that is "quite odd". This can be understood as a door that doesn't follow the pattern of other doors. The pattern seems to be related to the door numbers being not equal to other two numbers. 
Now we analyze the relationships and create pairs for each door:
1. 1 is not 2 or 4, so it's related to 2 and 4.
2. 2 is not 1 or 4, so it's related to 1 and 4.
4. 4 is not 1 or 2, so it's related to 1 and 2.
Among these pairs, we can see that door 1 has only one pair (with door 2) while both door 2 and door 4 have two pairs each. 
Considering the requirement is to find the 'odd' door, it might be a door with more 'odd' pairings, meaning with multiple pairs (not just 1 or 2). In this case, door 2 (related to 1 and 4) and door 4 (related to 1 and 2) both follow this criteria. However, to find the most unique door, we could choose the door that forms an odd number of pairs among the other doors. 
Since there are three doors in total, any door having two pairs would result in an even pair count with the other two doors. 
Finally, we find that door 2 fits this criteria. Door 2 is connected to both 1 and 4, making an even pair count (1 + 2) with other two doors (door 1 and door 4). 
FINAL_ANSWER: &lt;Answer&gt; = Door 2</t>
  </si>
  <si>
    <t>3s2</t>
  </si>
  <si>
    <t xml:space="preserve"> Firstly, let's break down the relationships in this puzzle and assign them to specific entities. The given information can be translated as:
- You are in a hallway with 3 doors (numbered 1, 2, and 4)
- A sign on the wall says something about the correct exit
- The sign mentions 'odd' and 'quite odd', indicating the nature of the correct answer or exit
Now, we will use this structure to solve the puzzle. Since the goal is to find the correct exit, we need to identify which term 'odd' or 'quite odd' refers to. We can analyze the clues provided to deduce possible relationships between 'odd', 'quite odd', and the correct exit.
- 'Quite odd' can mean that the correct exit has some level of unusualness or rarity, making it less expected than the others
- It could also imply that the correct exit is further from the norm or more outlandish than the other options
Considering these interpretations and the context, we can now deduce the solution.
FINAL_ANSWER: Door 4 is the 'quite odd' exit, so the correct door is likely number 4, as it stands out among the other more common and conventional options (numbers 1 and 2).</t>
  </si>
  <si>
    <t>3s3</t>
  </si>
  <si>
    <t xml:space="preserve"> Relationships:
- You are in a hallway with 3 doors, number 1, 2, and 4
- A sign on the wall says: "The correct exit is quite odd"
- The goal is to find the correct exit
Step 1: We need to understand what 'quite odd' means in context
- An odd number is an integer which cannot be formed by adding any two smaller positive integers (except for 1). In the given puzzle, since there are 3 doors, only one door can be odd.
Step 2: Identify odd numbers among the doors
- Odd numbers = 3 - 2 = 1 or 3 - 1 = 2 or 3 - 4 = 1 or 3 - 3 = 0 (modulo 3)
- But the numbers of the doors are already mentioned as 1, 2, and 4, so we can directly identify the odd doors
- Odd doors = {1, 3}
Step 3: Translate remaining relationships into structured form
- You are in a hallway with 3 doors, number 1, 2, and 4: Door_Numbers = {1, 2, 4}
- A sign on the wall says: "The correct exit is quite odd": The_Correct_Exit_Is_Odd = {1, 3}
Step 4: Solve the puzzle using the structured relationships
To find the correct door, we need to find the intersection between the odd door set and the door number set.
Intersection = The_Correct_Exit_Is_Odd &amp; Door_Numbers = {1, 3} &amp; {1, 2, 4} = {1, 3}
FINAL_ANSWER: The correct doors are {1, 3}.</t>
  </si>
  <si>
    <t>4z1</t>
  </si>
  <si>
    <t>There is one ceiling light and 3 switches: A, B, and C. You are told that only one switch works, and it is NOT switch B. The working switch is next to switch A. Which switch turns on the light?</t>
  </si>
  <si>
    <t xml:space="preserve"> Since switch B does not work and the working switch is next to switch A, the remaining option is switch A. So, switch A turns on the light.</t>
  </si>
  <si>
    <t>4z2</t>
  </si>
  <si>
    <t xml:space="preserve"> The final answer is either switch A or switch C, as both are not switch B and are adjacent to the working switch, which is not mentioned explicitly in the provided details. However, without further context, we can't determine which specific switch actually controls the light.</t>
  </si>
  <si>
    <t>4z3</t>
  </si>
  <si>
    <t xml:space="preserve"> Since we know the working switch is not B, and it's next to A, then the working switch must be either A or C. As A is not the correct option, the final answer is C turns on the light.</t>
  </si>
  <si>
    <t>4c1</t>
  </si>
  <si>
    <t xml:space="preserve"> Let's analyze the given information step by step:
1. There are three switches (A, B, and C) and one ceiling light.
2. Switch B does not work, meaning it's not responsible for turning on the light.
3. The working switch is next to switch A. This statement suggests a spatial relationship between the two switches.
4. Since we are looking for the switch that turns on the light, we have to find the correct switch out of A and C as they both could be the one responsible.
Now, let's use logic and process the situation. If the working switch is next to switch A, it means it's likely a physical connection or proximity has a role in the functionality. Considering both A and C can potentially be the working switch, the closer one would be more likely to control the light due to the mentioned proximity factor.
Since switch A is mentioned to be next to the working switch, we can safely assume that switch A is the one responsible for controlling the light. The final answer is that switch A turns on the light. This reasoning is based on the spatial connection provided with the information given and the logical connection between proximity to the working switch and its functionality.</t>
  </si>
  <si>
    <t>4c2</t>
  </si>
  <si>
    <t xml:space="preserve"> To determine which switch turns on the light, we can analyze the given information step-by-step.
1. We know there is a total of three switches: A, B, and C.
2. Only one of these switches works to control the ceiling light.
3. It's mentioned that the working switch is NOT switch B. This means the working switch could be either switch A or switch C.
4. The given statement says that the working switch is "next to" switch A. This implies that the working switch is directly adjacent to switch A in terms of positioning (not necessarily on the same line).
5. Taking everything into account, since the working switch is not switch B and is next to switch A, the only remaining option is that the working switch must be switch C. This is because switch C is the only other option not being either switch A or switch B.
Final answer: Switch C turns on the light. The reasoning follows deducing the working switch from the provided information. It cannot be switch B as it doesn't work. Since it is "next to" switch A, the only other viable option left is switch C, making it the one that controls the ceiling light.</t>
  </si>
  <si>
    <t>4c3</t>
  </si>
  <si>
    <t xml:space="preserve"> To solve this puzzle step-by-step, we can analyze the given information:
1. There is a single ceiling light.
2. There are three switches: A, B, and C.
3. Only one switch among A, B, and C works to control the light.
4. This working switch is not switch B.
5. The working switch is next to switch A.
Now let's break down the problem into a sequence of questions to find the solution:
1. Since there is only one switch functioning, let's eliminate switch B from being the working switch due to the given information.
2. The working switch is said to be "next" to switch A. This implies that it is either adjacent or in close proximity (like on the same wall).
3. We know that at least one of the remaining switches, A or C, must work. So, we can now assume they are the working switches.
4. Considering our previous assumptions, we have two possible cases:
   a) Switch A is working and Switch C doesn't work.
   b) Switch C is working and Switch A doesn't work.
5. In each case, we need to determine whether it would work as described by the given conditions:
    a) If switch A is working and switch C doesn't, the light can be controlled by turning off switch C and turning on switch A. However, when switch A is turned on, switch C (not working) would also be in the same state as switch A since they're off, making it unclear if the ceiling light would remain on or off.
    b) On the other hand, if switch C is working and switch A doesn't work, then controlling the light requires turning on switch C. In this case, the condition that switch A should be next to switch C is fulfilled, but there's no indication that switch A needs to be a non-functioning switch or even present.
Based on these evaluations, there is no clear way to determine which of the two cases matches the given puzzle description, nor can we conclude which specific switch turns on the light. The problem might have an incomplete or inconsistent setup. It's essential to have more information for a complete understanding and solution.
Final answer: It is not possible to</t>
  </si>
  <si>
    <t>4d1</t>
  </si>
  <si>
    <t xml:space="preserve"> Step 1: Key clues - 
1. One ceiling light
2. 3 switches (A, B, and C)
3. Only one switch works
4. The working switch is NOT switch B
5. The working switch is next to switch A
Step 2: Interpretation - 
1. There's a single ceiling light present in the given scenario.
2. There are three different switches which might be used to control the light. These switches are labeled as A, B, and C.
3. Only one of these switches is functional. It doesn't work properly if it's not switch A. However, switching A is not the correct answer since it's not the working switch.
4. Switch A has a connection with the functional switch since it's mentioned to be "next to" it.
Step 3: Combining the clues - We know there's only one working switch out of the three available, which isn't switch A. Since it's stated that switch A is adjacent to the operational switch, we can infer that the right switch to turn on the light is the one between switch A and itself. This indicates switch A should be considered as part of the sequence. Therefore, the functioning switch would be the one located just before switch A. Considering the sequence from left to right, this would be either switch B or switch C. Given that switch B is specified as non-functional, it leaves us with switch C as the possible working switch.
FINAL_ANSWER: &lt;Answer&gt; The switch that turns on the light is either switch B or switch C, but not switch A or switch B.</t>
  </si>
  <si>
    <t>4d2</t>
  </si>
  <si>
    <t xml:space="preserve"> Step 1: Key clues - one ceiling light, 3 switches (A, B, C), one switch works, not switch B, the working switch is next to A.
Step 2: Clue interpretations:
- One ceiling light has a connection with switches A, B, and C.
- Switch B does not work or play any role in turning on the light.
- The working switch (which can turn on the light) is located between switches A and B.
Step 3: Combining the clues: Since switch A is the one next to the working switch, we can deduce that switch A must be the one turning the ceiling light on.
FINAL_ANSWER: The switch turning on the light is switch A.</t>
  </si>
  <si>
    <t>4d3</t>
  </si>
  <si>
    <t xml:space="preserve"> Step 1: Key clues: one ceiling light, 3 switches (A, B, C), one switch works, not switch B, working switch is next to switch A.
Step 2: Interpret each clue:
- The light and switches are present.
- There are three options for a non-working switch (A, B, or C).
- Switch B doesn't work.
- The working switch is close to A but not itself.
Step 3: Combine the clues: We know Switch B is not the right one. Since A and C aren't mentioned as working, it must be that the correct switch is between A and B or A and C. However, since the working switch is not A, it has to be somewhere else, making it either between A and B or A and C excluding B. Therefore, the only two possible positions for the working switch are between A and B or between A and C.
FINAL_ANSWER: The switch turning on the light could be either A itself or switch C. It can't be A because it's stated that the correct switch is near A but not A itself. It also can't be C alone because we're only considering the position relative to A and B. So the most reasonable answer is that the switch between A and B also works (A being the first, and B being the one that doesn't work), making switch A be the one responsible for turning on the light when combined with the nearby non-working switch B. The second option of a switch between A and C doesn't have enough context to determine its relationship with the other switches.</t>
  </si>
  <si>
    <t>4v1</t>
  </si>
  <si>
    <t xml:space="preserve"> FINAL_ANSWER: Switch A</t>
  </si>
  <si>
    <t>4v2</t>
  </si>
  <si>
    <t xml:space="preserve"> Let's analyze step by step.
1. We know there is one working switch, which is not switch B.
2. The working switch is next to switch A.
3. There is a ceiling light connected to these switches.
4. To determine which switch turns on the light, we need to find out which switch is the working switch between A, B, and C.
5. Since switch B is not the working one, we can focus on A and C.
6. As the working switch is next to A, it should be either A or C (since they are neighbors).
7. Since we don't have any other information about their positions or functionality, we can't confirm if A or C is the one we need.
At this point, we have tried our best to solve the puzzle with available information but couldn't determine the exact switch that turns on the light. Further context or more clues would be required to make a precise answer. So, without a proper conclusion, I'll output the puzzle's unanswered state: FINAL_ANSWER: Unanswered</t>
  </si>
  <si>
    <t>4v3</t>
  </si>
  <si>
    <t xml:space="preserve"> First, we analyze the given information. We know there is a single working switch (except for switch B). It's next to switch A. Since there are only three switches, let's list them: A, B, and C in that order. We can now eliminate B as the working switch since it's mentioned not to be it. As for the last statement, the switch should be next to switch A. We have two options to fill this role: either it's switch C being next to A or switch A itself being the working one and having C right beside it. Considering switch C could be too close to A, it's more logical to assume switch A works and C is just beside it. So, our final answer is: FINAL_ANSWER: A</t>
  </si>
  <si>
    <t>4e1</t>
  </si>
  <si>
    <t xml:space="preserve"> Clues used: 
1. There is one ceiling light and 3 switches: A, B, and C.
2. Only one switch works, and it is NOT switch B.
3. The working switch is next to switch A.
Reasoning based on these clues: We know there are 3 switches (A, B, C) which suggests that other than the ceiling light, two of them might not be functional or the lights could be connected to more than a single switch. Since only one switch works, it implies that all others are not functioning, so we can eliminate all the options apart from A and B. As the given information points out, switch A's working condition is not mentioned directly but we do know that the working switch is near it. So, the best we can infer is that there's a strong likelihood that switch A may be the one turning on the light due to its close proximity to it. However, we can't be entirely certain without further clarification. FINAL_ANSWER: &lt;Answer&gt; Switch A might turn on the light.</t>
  </si>
  <si>
    <t>4e2</t>
  </si>
  <si>
    <t xml:space="preserve"> Clue 1: One ceiling light and 3 switches: A, B, and C.
Clue 2: Only one switch works, and it is NOT switch B.
Clue 3: The working switch is next to switch A.
We know that we have three switches (A, B, and C) and a ceiling light. We also know that only one of these switches work, and it's not switch B. The working switch is located in close proximity to switch A. Based solely on this information, we can deduce that the remaining working switch is either switch A or switch C since they are the only options left. Since the working switch is next to switch A, we can infer that switch A is the one that turns on the light.
FINAL_ANSWER: Switch A</t>
  </si>
  <si>
    <t>4e3</t>
  </si>
  <si>
    <t xml:space="preserve"> Clue 1: There is one ceiling light and 3 switches: A, B, and C.
Clue 2: Only one switch works.
Clue 3: The working switch is NOT switch B.
Clue 4: The working switch is next to switch A.
Reasoning: Since only one switch works, there are two possible switches left for this working one (either A or C). We know that it is not switch B. Additionally, we have information about the location of the working switch, which is next to switch A. Based on this, we can infer that the switch turning on the light must be either switch A itself, or it is switch C. However, since the working switch is next to A, it implies that it has a direct relation to A, hence it cannot be switch C. Therefore, FINAL_ANSWER: &lt;Answer&gt; Switch A turns on the light.</t>
  </si>
  <si>
    <t>4g1</t>
  </si>
  <si>
    <t xml:space="preserve"> Clue 1: There is one ceiling light and 3 switches: A, B, and C.
- There is a light in a room
- There are 3 switches controlling the light
- They have specific names (A, B, C)
Clue 2: You are told that only one switch works, and it is NOT switch B.
- Among the 3 switches, only one can work properly
- This not-working switch is NOT named "B"
Clue 3: The working switch is next to switch A.
- The functioning switch is positioned close to switch A, not directly next to it
Solution Process: We need to find out which switch between A, B, and C actually works and controls the light.
From Clue 2, we know that the non-working switch is B, so that leaves us with two possible options, either A or C. Now we analyze Clue 3 which states that the working switch is next to A. Therefore, since the working switch is not directly next to A, it implies that the switch in question (A) is not functioning. So, the only remaining option would be Switch C, as it has no mentioned relation to any of the other clues which makes it independent.
FINAL_ANSWER: &lt;Answer&gt; Switch C turns on the light.</t>
  </si>
  <si>
    <t>4g2</t>
  </si>
  <si>
    <t xml:space="preserve"> Clue List:
1. One ceiling light.
2. 3 switches: A, B, and C.
3. Only one switch works.
4. It is NOT switch B.
5. The working switch is next to switch A.
6. The goal is to find the switch that turns on the light.
Interpretation:
1. There's a single light fixture in the room.
2. The room has three control devices: A, B, and C switches.
3. Among them, only one can manage the light.
4. Switch B isn't the operational one.
5. The functional switch is positioned adjacent to switch A.
6. We must identify which of these controls the light.
Solution: The clues provide the relationship between the different elements of the situation. In order to achieve the goal, we need to determine which switch is next to A, yet not B. Since A and B are mentioned in the same clue (B is not the working one), there must be a switch between them. That means C is the one next to A. Following the given information, only one switch works, and this rule confirms that it is not switch B but could be A or C since they are the other options available. However, the last clause specifies that the working switch is next to A. Therefore, the light will be turned on by using either switch A or switch C. But not both at the same time as one of these two has to be turned off for the other to work. FINAL_ANSWER: A or C</t>
  </si>
  <si>
    <t>4g3</t>
  </si>
  <si>
    <t xml:space="preserve"> Clues:
1. There is one ceiling light and 3 switches: A, B, and C.
2. Only one switch works, and it is NOT switch B.
3. The working switch is next to switch A.
4. Switch B is not the working switch.
5. Switch A's neighbor is the working switch.
6. The goal is to find the switch turning on the light.
Solution:
1. Identify the working switch from the given information. From clues 2 and 3, we know that only one switch works and it's not B, but it's also next to switch A. This puts it between A and B.
2. Since it's not B, it must be A (since A is the closest to it).
3. Now that we have identified switch A as the working switch, we can determine which switch turns on the light by connecting the dots. Given clue 1 about the one ceiling light, we can infer that the working switch has an impact on the light.
FINAL_ANSWER: &lt;Switch A&gt;</t>
  </si>
  <si>
    <t>4s1</t>
  </si>
  <si>
    <t xml:space="preserve"> First, let's identify the relationships given in the puzzle:
1. One ceiling light (not related)
2. 3 switches: A, B, and C (Not related)
3. Only one switch works, and it is NOT switch B (B not working)
4. The working switch is next to switch A (B near A)
5. The working switch turns on the light (need to find the working switch)
Now, we can translate these relationships into structured relationships. For example: A is left of B becomes A&lt;B:
- B not working: B_NOTWORKING = True
- B near A: B_NEAR_A = True
- B near A and B not working: B_NEAR_A_AND_B_NOTWORKING = (B_NEAR_A == True) and (B_NOTWORKING == True)
- The working switch turns on the light: LIGHT_ON = &lt;Working switch&gt;
There are no more relationships mentioned, so we can proceed to solve the puzzle using the translated relationships. We need to find the working switch that is close to switch A. Given that it's not switch B, we're left with switch A and switch C. Switch A is already next to switch B, which is not the working switch. Therefore, the only possible working switch that's close to switch A is switch C.
FINAL_ANSWER: C</t>
  </si>
  <si>
    <t>4s2</t>
  </si>
  <si>
    <t xml:space="preserve"> First, let's translate the given information into a relationship-based structure:
1. Ceiling light: unrelated (unrelated to any other element)
2. One switch works - NOT_SWITCH_B
3. The working switch is next to switch A - WORKING_SWITCH &lt; A
4. Switch A is related to A, B, C - A&lt;B, A&lt;C
5. Switch B is related to A, B, C - B&lt;A, B&lt;C
6. Switch C is related to A, B, C - C&lt;A, C&lt;B
7. The working switch should be one of the three switches to turn on the light.
Now, we need to find which switch(es) can turn on the light:
- WORKING_SWITCH &lt; A, NOT_SWITCH_B = The working switch can't be both A and B since B is the not-working switch.
- WORKING_SWITCH &lt; A, WORKING_SWITCH &lt; C = If the working switch is A and C, it will be possible for the light to work but not if they are the only ones working.
- WORKING_SWITCH &lt; A, WORKING_SWITCH &lt; B = This case doesn't fit since B is a not-working switch.
- WORKING_SWITCH &lt; A, WORKING_SWITCH &lt; B, WORKING_SWITCH &lt; C = This possibility includes all three switches and matches the given condition that only one switch works and turns on the light.
So, FINAL_ANSWER: A, B, or C can turn on the light.</t>
  </si>
  <si>
    <t>4s3</t>
  </si>
  <si>
    <t xml:space="preserve"> For the given puzzle, we can translate it into the following relationships:
1. One ceiling light and 3 switches: Light = {CeilingLight}, Switches = {A, B, C}
2. Only one switch works, not B: NotWorkingSwitch = Not(B)
3. The working switch is next to A: WorkingSwitchNextTo = A&lt;WorkingSwitch
4. This switch turns on the light: LightTurnsOn = (WorkingSwitchNextTo) &amp; (NotWorkingSwitch) -&gt; Light
Using the structured relationships derived from the puzzle, let's find the final answer by solving this logic step-by-step:
1. Find the working switch that is not B: NotWorkingSwitch = Not(B)
   - NotWorkingSwitch will be either A or C since both A and C are not B
2. Determine the position of the working switch in relation to switch A: WorkingSwitchNextTo = A&lt;WorkingSwitch
   - If WorkingSwitchNextTo is true, then A&lt;WorkingSwitch. So, the working switch is in between A and another not working switch, but not B.
3. Combine the conditions to find which switch turns on the light:
   - LightTurnsOn = (WorkingSwitchNextTo) &amp; (NotWorkingSwitch) -&gt; Light
Now we can analyze the possible scenarios and find the FINAL_ANSWER:
1. Scenario 1: if A is the working switch, then NotWorkingSwitch = A and NotWorkingSwitch = B (since A is a not working switch), and A&lt;WorkingSwitch implies WorkingSwitch = C. In this case, LightTurnsOn = (A&lt;C) &amp; (A=B) -&gt; Light = (A&lt;C) &amp; (A=A) -&gt; Light = (A&lt;C) -&gt; Light = A&lt;Light (A lights up)
2. Scenario 2: if C is the working switch, then NotWorkingSwitch = A and NotWorkingSwitch = B (since A is a not working switch), and A&lt;WorkingSwitch implies WorkingSwitch = A. In this case, LightTurnsOn = (A&lt;A) &amp; (A=B) -&gt; Light = (A&lt;A) &amp; (</t>
  </si>
  <si>
    <t>5z1</t>
  </si>
  <si>
    <t>On a counter sit three cups labeled Tea, Juice, and Ice water. You are told that the key is taped under the cup that should feel the warmest to the touch. Where is the key?</t>
  </si>
  <si>
    <t xml:space="preserve"> The final answer is under the "Tea" cup as it is typically served hot, making it feel warmer to the touch compared to the other beverages.</t>
  </si>
  <si>
    <t>5z2</t>
  </si>
  <si>
    <t xml:space="preserve"> The final answer is under the "Tea" cup because tea tends to feel warmer to the touch than juice and ice water due to its serving temperature.</t>
  </si>
  <si>
    <t>5z3</t>
  </si>
  <si>
    <t xml:space="preserve"> The final answer is that the key is under the Cup of Juice.</t>
  </si>
  <si>
    <t>5c1</t>
  </si>
  <si>
    <t xml:space="preserve"> To solve this puzzle step-by-step, we will evaluate the temperatures of each cup's contents and apply the assumption that the key is hidden beneath the cup with the warmest temperature. Let's analyze the cup labels and their potential temperatures.
1. Tea - It is a hot beverage typically served warm or at a higher temperature than other drinks.
2. Juice - This is usually served cold or at room temperature and not warmer than Tea.
3. Ice Water - This would have the lowest temperature among the options due to the presence of ice.
Now, we can make an educated guess based on the mentioned relationships in terms of temperature. Since Tea is considered warmer than Juice and Ice Water, it would potentially have the highest temperature among these three cups. Therefore, the key is most likely taped under the "Tea" cup, as it feels the warmest to the touch according to this scenario.
Final Answer: The key is under the "Tea" cup.</t>
  </si>
  <si>
    <t>5c2</t>
  </si>
  <si>
    <t xml:space="preserve"> To solve this puzzle step-by-step, we need to understand how the temperature of each cup affects the feeling when touched. We will follow these steps:
1. Recognize the properties of each liquid in relation to temperature. 
2. Understand that the key should be found under the cup with the most significant temperature variation. 
3. Compare the liquids to determine which one would be the warmest or coldest.
4. Identify which of the three given labels corresponds to the liquid with the most noticeable temperature change.
5. Provide the final answer, stating the label of the cup where the key is expected to be found.
1. Tea is typically made hot and can become cooler as it's served. Ice water is made from melting ice, so it's often very cold. Juice is a room temperature drink and remains relatively stable in terms of temperature.
2. The warmest or coldest cup will have the greatest variance in temperature compared to other drinks. This should lead us to the correct labeled cup where the key might be hidden.
3. Comparing the liquids, we see that both tea and ice water have contrasting temperature variations - hot tea to room temperature, and very cold ice water to room temperature. Juice doesn't have significant changes in temperature since it's typically served close to room temperature.
4. Based on the previous analysis, tea and ice water show more drastic temperature changes than juice. Therefore, we can expect a noticeable temperature difference between the two, making one of them feel warmer or colder than the other.
5. Considering the given labels "Tea", "Juice", and "Ice water", we can infer that the key is under the cup associated with the liquid displaying the most significant temperature variations - either Tea or Ice water. It is important to note that we don't have enough information to definitively choose between the two, but we can confidently conclude that the key would be under one of those two cups. 
Final answer: The key is under the labeled cup of either Tea or Ice water.</t>
  </si>
  <si>
    <t>5c3</t>
  </si>
  <si>
    <t xml:space="preserve"> To solve this puzzle, we can follow these steps:
1. Understand the given information: We have three cups labeled Tea, Juice, and Ice Water. We are told that the key is under the cup which feels the warmest when touched.
2. Apply general knowledge about temperature and liquids: Generally, the most common ways to serve tea are hot (in a teapot) or cold (iced tea). Juice and water can be served at room temperature, cold, or as part of other drinks like ice tea.
3. Analyze the temperatures of different beverages: Hot tea is warmer than other options. Cold tea is a more specific case which might not be as warm as plain hot tea. The other two options, juice, and ice water, could be at various temperatures but would typically be colder.
4. Compare the possible scenarios: Among the three cups, if we only consider temperature, the 'Tea' cup is likely to feel the warmest. However, it's also essential to remember that the key could be under any cup, not just the one that feels the warmest to the touch.
5. Consider possible hidden factors: There might be additional information not mentioned in the problem. For example, someone could have left the juice cup on a heating pad or the ice water cup near a heater, causing them to feel warmer than they should.
6. Final decision: Without any extra information, the safest assumption we can make is that the key is taped under the 'Tea' cup since it is the warmest, as per our basic understanding of the beverages and their general temperatures. However, remember that there could be other factors involved.
Final answer: The key is most likely under the 'Tea' cup. This reasoning depends on our understanding that typically 'Tea' is served hotter than 'Juice' and 'Ice Water'. However, it's crucial to consider that this might not always be the case, and there might be additional context not mentioned here.</t>
  </si>
  <si>
    <t>5d1</t>
  </si>
  <si>
    <t xml:space="preserve"> Step 1: Key clues in the puzzle: Counter with three cups, labels on cups (Tea, Juice, Ice Water), the warmest cup, and key being under it.
Step 2: Interpreting the clues:
- The counter has three cups with different contents.
- Each cup has a label indicating its content (Tea, Juice, Ice Water).
- The key is under the cup that feels warmest.
- The warmth of the cup could be influenced by factors like temperature or contents.
Step 3: Combining the clues to reach a conclusion: Since we don't have specific information about the initial temperature of the cups or any external factors affecting them, we can only rely on the content of the cups. Tea typically has a hotter temperature compared to juice and ice water when poured. Therefore, based on this reasoning, the warmest cup would likely be the 'Tea' cup, as 'Juice' could be cold and 'Ice Water' would definitely be cold. However, it's essential to consider other factors not given in the puzzle.
FINAL_ANSWER: &lt;Answer&gt; It is most likely under the "Tea" cup since it should feel the warmest.</t>
  </si>
  <si>
    <t>5d2</t>
  </si>
  <si>
    <t xml:space="preserve"> Step 1: Key clues in the puzzle - Counter with three cups (Tea, Juice, and Ice Water), the warmest cup has the key taped under it.
Step 2: Interpret each clue - Counter with three cups: There are three cups with different labels, located on a counter. Warmest cup: The cup feeling the warmest to the touch will have the key.
Step 3: Combine the clues - We have to find the cup which feels the warmest because it has the key taped under it. Since the temperature of the liquids can vary, we need to think logically in terms of cup material, liquid density, and initial temperatures. In general, thicker walls and denser materials would retain heat for longer. Considering this, the Tea cup might feel warmer to the touch compared to the other two (assuming the same thickness and material). Therefore, looking at the labels, the Juice cup would feel cooler because it's juice, and the Ice Water cup would be very cold. The Tea cup might likely contain something like hot tea or some other warm beverage which could potentially retain heat for a while after being poured into the cup. So, considering the available information, the key is most likely taped under the Tea cup.
FINAL_ANSWER: &lt;Answer&gt; Tea cup</t>
  </si>
  <si>
    <t>5d3</t>
  </si>
  <si>
    <t xml:space="preserve"> Step 1: Key clues in the puzzle: Counter, Three cups, Labeled Tea, Juice, and Ice water, Warmest to the touch, Key taped.
Step 2: Interpreting each clue:
- Counter: A surface where items can be placed.
- Three cups: Exactly one more than two.
- Labeled Tea, Juice, and Ice water: Different types of drinks.
- Warmest to the touch: The cup with the most body heat will be this one.
- Key taped: The key is related to the warmest cup.
Step 3: Combining the clues:
We have three cups labeled Tea, Juice, and Ice water on a counter. One of these cups is expected to feel warmer to the touch due to its temperature. The clue states that the key is taped under the cup feeling warmest.
Since the warmest cup will have more body heat from its temperature, we can deduce that the cup that has the highest temperature is likely to feel warmer. Therefore, among the different liquids, it's possible that the warmest cup might be either the Tea or the Juice, as they both generally have a higher temperature compared to Ice water which is typically cold.
Final Answer: &lt;Answer&gt; The key is possibly taped under the cup labeled Tea or Juice.</t>
  </si>
  <si>
    <t>5v1</t>
  </si>
  <si>
    <t xml:space="preserve"> Firstly, I will analyze the clues given in the puzzle and try to solve it logically. Clues: The counter has three cups with specific labels (Tea, Juice, and Ice Water). The key is under a cup which should feel the warmest when touched.
Reasoning: Now, let's consider the temperature of these three items under normal conditions: Tea is usually hot, Juice is room temperature, and Ice Water would be cold. Since the goal is to find the warmest, we need a clue related to the warmth of each item. In this case, the clue about feeling warm to the touch refers to the perception of temperature rather than the actual temperature. Therefore, we can conclude that touching a slightly colder cup would still feel warmer than touching an ice-cold one. Hence, the key should be under the cup with the least cold label, which is Ice Water.
Final Answer: FINAL_ANSWER: Ice Water</t>
  </si>
  <si>
    <t>5v2</t>
  </si>
  <si>
    <t xml:space="preserve"> To solve the puzzle logically, we need to understand which cup would feel the warmest based on their nature or typical usage.
1. Tea - It's generally served hot. So, the tea cup might feel warmer compared to other cups.
2. Juice - Typically, it's served cold, so it could be at room temperature and won't feel too warm.
3. Ice water - This is usually served very cold and could potentially be colder than room temperature.
Now, we consider the fact that the key is taped under the cup with the most comfortable warmth to touch. As we evaluate each option:
1. Tea - While feeling warmer, it's still not ideal for people's preferences in terms of temperature.
2. Juice - It's likely closer to the acceptable temperature range for most people.
3. Ice water - It's too cold to be comfortable for many people.
Based on this reasoning, the key is more likely to be taped under the Juice cup as it represents a comfortable middle-ground temperature. 
FINAL_ANSWER: Juice</t>
  </si>
  <si>
    <t>5v3</t>
  </si>
  <si>
    <t xml:space="preserve"> Analyze the puzzle step by step
1. Identify the temperature effects on the cups:
   - Tea is typically hot when brewed, so it would be the warmest
   - Juice has a neutral temperature, neither cold nor hot
   - Ice water would be cold due to the presence of ice
2. Determine which cup the key is under based on temperature: The warmest to the touch cup would have the key taped under it.
    - Warmest = Tea
3. Write the final answer considering the reasoning: FINAL_ANSWER: Tea
Now check if this solution satisfies all clues:
- The given puzzle mentions that the key is taped under the cup that feels the warmest to the touch
- The key should be under the Tea cup since it's the warmest among the options
Our reasoning seems correct according to the provided information. So, the final answer remains: FINAL_ANSWER: Tea</t>
  </si>
  <si>
    <t>5e1</t>
  </si>
  <si>
    <t xml:space="preserve"> Clue 1: On a counter sit three cups labeled Tea, Juice, and Ice Water.
Clue 2: The key is taped under the cup that should feel the warmest to the touch.
Since the order of warmth in the cups is not mentioned, let's assume they have equal temperatures. We know that temperature can be affected by factors such as humidity or ambient temperature, which might change during the course of the day. However, we cannot predict this behavior accurately.
FINAL_ANSWER: The location of the key cannot be determined solely based on the given information without making assumptions about the context or conditions surrounding the temperature of the cups.</t>
  </si>
  <si>
    <t>5e2</t>
  </si>
  <si>
    <t xml:space="preserve"> Clues: Counter has three cups - Tea, Juice, and Ice water. Key is tapped under the cup that should feel the warmest to the touch.
Reasons: Since we're looking for the cup feeling the warmest to the touch, we know that temperature changes how it feels. Ice Water will be the coldest, while Tea is typically hot when brewed. The middle cup is Juice, which can vary in temperature. Considering these factors, FINAL_ANSWER: The cup with the key is likely under the 'Tea' cup.</t>
  </si>
  <si>
    <t>5e3</t>
  </si>
  <si>
    <t xml:space="preserve"> Clues: Counter has three cups - Tea, Juice, and Ice Water. Key is under the cup that should feel the warmest to the touch.
Reasoning based on clues: We need to find which cup would be warmer between Tea, Juice, and Ice Water. Since we don't have information about external factors such as room temperature or the beverage temperature itself, we can only consider the temperature change resulting from the content of the cup. Iced beverages (in this case, Ice Water) tend to lower the temperature inside the cup due to their cold nature. Juice, as a regular liquid without any specific cooling property, might maintain a slightly warmer temperature compared to an ice-cold drink but not enough to make it significantly warmer. The only liquid out of these choices that would experience natural warmth through body heat while sitting for some time is the hot beverage, Tea. Therefore, the key is likely to be under the Tea cup since it should feel the warmest to the touch. FINAL_ANSWER: Under the Tea cup.</t>
  </si>
  <si>
    <t>5g1</t>
  </si>
  <si>
    <t xml:space="preserve"> Clue List:
1. On a counter sit three cups labeled Tea, Juice, and Ice water.
2. The key is taped under the cup that should feel the warmest to the touch.
3. FINAL_ANSWER: &lt;Answer&gt;
Interpretation:
1. There are three cups with labels mentioned which have different beverages and temperatures.
2. The clue tells us to find the cup that feels the warmest when touched, then locate the key under it.
3. The final step requires to provide the answer as given in angle brackets.
Solution:
To find the warmest cup, we need to understand how they compare temperature-wise:
- Tea is generally served hot, making this cup warmer than the others.
- Juice typically has room temperature, making it cooler but not cold.
- Ice water implies a very low temperature, so it's the coldest among these options.
Since the warmest cup would be felt first on touch, we can choose Tea. After finding the Tea cup, look for the key under it, as per the clue.
FINAL_ANSWER: Under the Tea cup.</t>
  </si>
  <si>
    <t>5g2</t>
  </si>
  <si>
    <t xml:space="preserve"> Clues:
1. On a counter sit three cups labeled Tea, Juice, and Ice water.
2. You are told that the key is taped under the cup that should feel the warmest to the touch.
3. FINAL_ANSWER: &lt;Answer&gt; (End with "FINAL_ANSWER: &lt;Answer&gt;" to represent the solution)
Interpretations:
1. A counter has three cups arranged: Tea, Juice, and Ice water.
2. The key is hidden under a specific cup which feels warmer when touched compared to others.
3. The goal is to find out where the key is located based on the given information.
4. This question is about determining the warmth of cups and locating a hidden object based on that warm feeling.
Solution:
1. Consider the temperatures of the cups, assuming Tea is warmest, followed by Juice, then Ice water.
2. Since the key is under the cup that feels warmest to the touch, it will be under the Tea cup.
3. FINAL_ANSWER: Tea (The answer is Tea cup)</t>
  </si>
  <si>
    <t>5g3</t>
  </si>
  <si>
    <t xml:space="preserve"> First Clue: On a counter sit three cups labeled Tea, Juice, and Ice water.
Second Clue: You are told that the key is taped under the cup that should feel the warmest to the touch.
Third Clue: No further clues provided.
Solution: To determine which cup feels the warmest, let's analyze the temperature of each type of liquid in the cups. Ice water is cold and will have a lower temperature than the two other drinks. The temperature of Tea can vary widely depending on its specific type and how recently it was brewed or made. Juice may also be affected by temperature depending on if it was freshly squeezed or stored for a while. However, Juice is usually more neutral in terms of temperature compared to both Tea and Ice water. Therefore, the cup that should feel the warmest to the touch would most likely be the one with the Juice, meaning the key is taped under the Juice cup.
FINAL_ANSWER: Juice</t>
  </si>
  <si>
    <t>5s1</t>
  </si>
  <si>
    <t xml:space="preserve"> First, we'll represent the given puzzle as relationships among different elements. Here are the translated relationships:
1. Counter has three cups: Cups = [Tea, Juice, Ice water]
2. The order of the cups on the counter: Tea&lt;Juice&lt;Ice water (since they are listed in the given order)
3. Key is under the cup that feels the warmest: Warmest = &lt;Key&gt;
Now, solving the puzzle using the structured relationship: To find the cup that feels the warmest to the touch, first let's analyze the warmth of each liquid. "Tea" is typically warmer than "Juice," which might be warmer than "Ice water." So, the order of warmth is approximately "Tea &gt; Juice &gt; Ice water."
Since the key is taped under the cup corresponding to the warmest liquid, we're looking for the cup right before the coolest one ("Ice water"). In our ordered list, "Juice" comes right before "Ice water."
FINAL_ANSWER: &lt;Juice&gt;</t>
  </si>
  <si>
    <t>5s2</t>
  </si>
  <si>
    <t xml:space="preserve"> Relationships: Cup_1 (Tea) &lt; Cup_2 (Juice) &lt; Cup_3 (Ice_water)
Key_placement: Key_warmest_touch (Cup_1 or Cup_2 or Cup_3)
Solution: FINAL_ANSWER: Warmest_touch (Cup_1 or Cup_2 or Cup_3) should be analyzed in order to find the answer. Since warm water feels warmer than cold water, the answer would be: FINAL_ANSWER: &lt;Cup_2 (Juice)&gt;</t>
  </si>
  <si>
    <t>5s3</t>
  </si>
  <si>
    <t xml:space="preserve"> We can first represent the relationships between the cups' positions and their labels as follows:
1. Cup(A) is labeled "Tea"
2. Cup(B) is labeled "Juice"
3. Cup(C) is labeled "Ice Water"
The "warmest to the touch" relationship can be translated into a temperature attribute. Let's assume the order of temperatures as: Tea &gt; Juice &gt; Ice Water.
Now we need to find the answer to the question, which refers to the cup that should feel the warmest. According to the given relationship, the order is Tea &gt; Juice &gt; Ice Water. So, the warmest should be Tea. 
Since Tea corresponds to Cup(A), we can state the final answer: FINAL_ANSWER: &lt;A&gt;
So, A is the cup that the key is taped under.</t>
  </si>
  <si>
    <t>t</t>
  </si>
  <si>
    <t>f</t>
  </si>
  <si>
    <t>6z1</t>
  </si>
  <si>
    <t>You see three boxes on a table: red, blue, and brown. A note says "Prize is not in a primary color box", where is the prize?</t>
  </si>
  <si>
    <t xml:space="preserve"> The final answer is that the prize is not in the red, blue, or brown boxes since they are all considered as primary colors (red, blue, and yellow). Hence, the prize might be in a non-primary color box, and we don't have enough information to determine the exact location of the prize within these secondary or tertiary colors.</t>
  </si>
  <si>
    <t>6z2</t>
  </si>
  <si>
    <t xml:space="preserve"> The final answer is that the prize is not in either the red, blue, or brown box since they are all non-primary colors. The primary colors are red, blue, and yellow, so to find the prize, you would have to look for a box with either yellow or a secondary color like green, purple, or orange.</t>
  </si>
  <si>
    <t>6z3</t>
  </si>
  <si>
    <t xml:space="preserve"> The final answer is that the prize is either in the red or blue box since both are secondary colors. However, the primary colors are red, blue, and yellow, so we cannot be certain of the color without specifying which primary colors are considered as such in your context.</t>
  </si>
  <si>
    <t>6c1</t>
  </si>
  <si>
    <t xml:space="preserve"> Step 1: Identify the primary colors. Primary colors are typically considered to be red, blue, and yellow.
Step 2: Determine which box is a non-primary color. Since there's no mention of yellow among the box colors (red, blue, and brown), we can infer that brown is not a primary color.
Step 3: Apply the given statement "Prize is not in a primary color box" to the conclusion. Based on our understanding, the brown box isn't a primary color box because it's brown, not one of the mentioned primary colors.
Step 4: Finalize the location of the prize. Since the prize statement doesn't include the red or blue boxes as possible locations, we can infer that the prize must be in either the red or blue box as those are the two remaining options and are both primary colors. However, we don't have enough information to determine if the prize is in the red or blue box specifically.
Answer: The location of the prize could potentially be in the red or blue box. The reasoning is based on eliminating the brown box as a primary color box and applying the given statement without further context about the red or blue boxes.</t>
  </si>
  <si>
    <t>6c2</t>
  </si>
  <si>
    <t xml:space="preserve"> To solve this puzzle, we need to understand what constitutes a primary color. Generally, primary colors are considered to be red, blue, and yellow. However, as there's no mention of yellow in the given context, we can narrow it down to just red and blue being secondary or mixed colors (cyan and magenta are also secondary but not mentioned). Brown is known to be a combination of red, blue, and yellow - which makes it more likely to be a secondary color rather than a primary color. 
Now, considering the given statement "Prize is not in a primary color box," we can rule out the red and blue boxes since they are secondary colors. This leaves us with only one option: the brown box, as it is neither a primary nor a secondary color, making it the most distinct color among the three. Therefore, the prize should be in the brown box. The final answer is that the prize is in the brown box.</t>
  </si>
  <si>
    <t>6c3</t>
  </si>
  <si>
    <t xml:space="preserve"> Step 1: Identify the primary colors - Red, Blue, and Yellow are considered primary colors.
Step 2: Analyze the situation - We know that the prize is not in any of the primary color boxes (Red, Blue, or Brown). The given options for boxes are Red, Blue, and Brown.
Step 3: Consider the remaining possible colors - As we have eliminated primary colors, we can infer that the remaining colors, which are secondary and tertiary colors, could be more likely to hold the prize. Secondary colors are made by mixing two primary colors. Tertiary colors are derived from mixing one primary and one secondary color.
Step 4: Evaluate each box based on its color - Red, being a primary color, has already been discarded. Blue is a primary color, so it's also out. Brown is not a primary color, but it's not a known secondary or tertiary color either. Since there's no definitive information about whether it's a secondary or tertiary color, it's possible that it could still have the prize.
Step 5: Conclusion - Based on the given information, we cannot determine with certainty where the prize is since we don't have enough context to eliminate other possibilities. The only thing we know is that it's not in the primary color boxes. However, it could potentially be in any of the three boxes.</t>
  </si>
  <si>
    <t>6d1</t>
  </si>
  <si>
    <t xml:space="preserve"> Step 1: Key clues in the puzzle are the color of the boxes (red, blue, and brown), the fact that there is a primary color box among them (red, blue, or brown), and the statement about the prize not being in a primary color box. The task is to determine the location of the prize.
Step 2: Red, blue, and brown are not primary colors as they include yellow, green, and purple respectively. Thus, red, blue, and brown are secondary colors which can be derived from a combination of primary colors. So the boxes represent secondary colors. The clue given states that the prize is not in a primary color box, which means it is not in the red, blue, or brown boxes.
Step 3: By combining the information, we can determine that since the prize is not in a primary color box, it must be in one of the remaining two boxes that are not secondary colors. This narrows down the possible locations for the prize to either a white or black box which are the only non-secondary colors available. Without any further context or clues, it is not possible to definitively say where the prize is. However, we do have a more specific area to look within.
FINAL_ANSWER: &lt;The prize could be in either a white or a black box&gt;</t>
  </si>
  <si>
    <t>6d2</t>
  </si>
  <si>
    <t xml:space="preserve"> Step 1: Key Clues - Three boxes, red, blue, brown, primary colors (red, blue, yellow), a note, prize location.
Step 2: Interpretation - The boxes have different colors: red, blue, and brown. Primary colors are red, blue, and yellow. The note states that the prize is not in any of the primary color boxes, meaning the prize is in either the red, blue or brown box but not the red, blue, or yellow one.
Step 3: Combining clues - Since the color of the boxes is red, blue, and brown, we know the prize is not in a box with one of the primary colors (red, blue, yellow). Given the remaining options, the prize must be in a box with only the other non-primary color, which is brown.
FINAL_ANSWER: Prize is in the brown box.</t>
  </si>
  <si>
    <t>6d3</t>
  </si>
  <si>
    <t xml:space="preserve"> Step 1: Key clues - three boxes (red, blue, and brown), a table, primary colors, a note with information about the prize location.
Step 2: Interpretation of clues - The three boxes have distinct colors which are categorized as either primary or non-primary colors. The note suggests that the prize is not in the box with the colors that are part of the primary color grouping. This means it can be in any of the boxes colored red, blue, or brown since these are considered non-primary colors.
Step 3: Combining clues - By understanding the significance of primary vs. non-primary colors and their respective locations within the boxes, we know that the prize cannot be in the box carrying a primary color. We can deduce that the prize could be in either one of the two remaining boxes: red or blue. Since we don't have specific information about which of those two boxes holds the prize, the best generalization would be that the prize location is uncertain among the available options (red and blue) but not in the primary color box (which is brown).
FINAL_ANSWER: &lt;The location of the prize is uncertain between red and blue boxes, but it isn't in the brown primary color box.&gt;</t>
  </si>
  <si>
    <t>6v1</t>
  </si>
  <si>
    <t xml:space="preserve"> We know the prize is not in the primary color boxes (red, blue, and brown). Since green is a primary color but not mentioned here, we can assume it's one of these colors (green is not present physically in the given context). Therefore, the prize could be in either the red, blue, or brown box, but not in the primary ones directly mentioned. However, this reasoning doesn't provide enough information to determine which specific box contains the prize. The given puzzle statement lacks crucial information for solving the problem completely, so the final answer cannot be concluded. We need more clues to solve this puzzle correctly.</t>
  </si>
  <si>
    <t>6v2</t>
  </si>
  <si>
    <t xml:space="preserve"> First, we'll assume that the prize is inside one of the boxes. Since there are three boxes (red, blue, and brown) and red, blue, and yellow are considered primary colors, the brown box doesn't have any primary color. So the prize must be either in the red or blue box. The note says "Prize is not in a primary color box." Therefore, if it were in a primary color box, it would be in one of the red or blue boxes, which contradicts the given information. This means the prize has to be in the non-primary color brown box.
FINAL_ANSWER: Brown Box</t>
  </si>
  <si>
    <t>6v3</t>
  </si>
  <si>
    <t xml:space="preserve"> First, I'll analyze the possible options for the prize box.
1. Red (primary)
2. Blue (primary)
3. Brown (non-primary)
Since the note states that the prize is not in a primary color box, this eliminates options 1 and 2 as they are both primary colors. We can only consider option 3, which is the brown box.
FINAL_ANSWER: Brown box</t>
  </si>
  <si>
    <t>6e1</t>
  </si>
  <si>
    <t xml:space="preserve"> Clues: Three boxes are on a table: red, blue, and brown. A note says "Prize is not in a primary color box".
Reasoning: Primary colors are red, blue, and yellow, so we need to find which of these colors are not mentioned in the boxes. The given information only discusses red, blue, and brown as the boxes on the table. Since yellow is not present among them, it's possible that yellow might be the color of the prize box. With this information, the prize could potentially be in a yellow box. FINAL_ANSWER: &lt;The prize could be in a yellow box, as it's not one of the primary colors listed for the boxes on the table.&gt;</t>
  </si>
  <si>
    <t>6e2</t>
  </si>
  <si>
    <t xml:space="preserve"> Clues used: Three boxes (red, blue, and brown) on a table, colors mentioned are red, blue, and brown (primary colors), note states "Prize is not in a primary color box". Reasoning: Since there are only two primary colors mentioned among the boxes' colors (red and blue), we can ignore the brown one which is a tertiary color. The note specifically tells us that the prize should not be in a primary color box. Thus, the prize is in the non-primary colored box which is brown (the last remaining option). FINAL_ANSWER: Brown</t>
  </si>
  <si>
    <t>6e3</t>
  </si>
  <si>
    <t xml:space="preserve"> Clues: Three boxes - red, blue, and brown. A note says "Prize is not in a primary color box". The colors mentioned are red, blue, and brown which are considered as secondary colors. Since the color range is limited to red, blue, and brown and red, blue, and brown are secondary colors and we are looking for a primary color box, it means that the prize should be in one of the two unmentioned colors - white and black.
FINAL_ANSWER: Prize is likely to be in either a white or black box.</t>
  </si>
  <si>
    <t>6g1</t>
  </si>
  <si>
    <t xml:space="preserve"> Clue 1: You see three boxes on a table: red, blue, and brown.
Clue interpretation 1: There are three boxes named red, blue, and brown present in the given scenario.
Clue 2: A note says "Prize is not in a primary color box"
Clue interpretation 2: The mention of 'primary color' refers to colors that are distinctly different and cannot be made by mixing other colors in equal amounts. In this context, red, blue, and yellow are considered primary colors.
Clue 3: Where is the prize?
Clue interpretation 3: This question is asking for the location of the prize, considering the given information about the boxes and their colors.
Solving the puzzle: Since the prize is not in any primary color box (red, blue, or yellow), the remaining option must be a non-primary color box which is brown. So, FINAL_ANSWER: Brown</t>
  </si>
  <si>
    <t>6g2</t>
  </si>
  <si>
    <t xml:space="preserve"> 
1. Clues: Three boxes (red, blue, and brown), table, note, prize, primary color boxes. 
2. Interpretation of clues: The location of the table with boxes is unspecified, but we know it has three boxes - red, blue, and brown, which are placed side by side. There's a note saying that the prize is not in one of the boxes that are considered to be primary colors (red, blue, and yellow).
3. Solving the puzzle: Since the note specifies that the prize is not in a primary color box, we can deduce that the prize must be in the remaining box, which is brown. FINAL_ANSWER: Brown</t>
  </si>
  <si>
    <t>6g3</t>
  </si>
  <si>
    <t xml:space="preserve"> 
1. Clues: Three boxes on a table - red, blue, and brown. A note says - "Prize is not in a primary color box". Red, Blue, and Brown are colors but also names of secondary colors. Primary colors are Red, Blue, and Yellow. The Prize's location was not specified by the note.
2. Interpretation: The boxes' colors can be interpreted both as colors and as secondary colors (Red, Blue, and Brown). In this context, the primary colors are Red, Blue, and Yellow. The note implies that the prize should not be in a box with colors Red, Blue, or Yellow since they are primary colors and hence not secondary colors. The given location of the prize is not mentioned, so it could potentially be in any of the boxes.
3. Solving the puzzle: Since we know the Prize is not in a box with Primary colors (Red, Blue, or Yellow), it must be in one with a secondary color (Red, Blue, or Brown). Given the note's emphasis on these being boxes rather than their hues, the most logical option would be to assume the Prize is in the Red box, which is a color but also a name of a secondary color (not a primary one). However, without further information, we can only speculate. Final Answer: FINAL_ANSWER: Could be Red box, further clues needed.</t>
  </si>
  <si>
    <t>6s1</t>
  </si>
  <si>
    <t xml:space="preserve"> To translate the given puzzle into structured relationships, we have to break it down into different parts first. We need to understand the relationships between the subjects (red, blue, and brown boxes) as well as the conditions or rules (prize location). Let's define these relationships:
1. The boxes are present on a table.
2. The colors of the boxes are: red, blue, and brown.
3. The colors can be classified as either primary (red, blue, or yellow) or non-primary (brown).
4. The note specifies the prize's location.
5. The prize cannot be in a primary color box.
Now let's represent these relationships using the language of predicates (a function or relation that takes some number of input values and returns a truth value or output).
1. On_table(box_red, box_blue, box_brown)
2. Color_red(box_red), Color_blue(box_blue), Color_brown(box_brown)
3. Classify_color(Color_red, Primary), Classify_color(Color_blue, Primary), Classify_color(Color_brown, Non_primary)
4. Prize_location(note)
5. Not_in_Primary_color(note, box_red, box_blue)
With these relationships established, we can use the predicate "Not_in_Primary_color" to reason about the possible locations for the prize based on the given condition. Since the note states the prize is not in a primary color box, and both red and blue are primary colors, this means the prize should be in the brown box (which is non-primary color).
FINAL_ANSWER: &lt;Answer&gt; = Brown_box</t>
  </si>
  <si>
    <t>6s2</t>
  </si>
  <si>
    <t xml:space="preserve"> Translate the relationships and constraints:
- Red, Blue, Brown are different boxes
- Red, Blue, Brown can be primary colors (either one or none)
- The note specifies that the Prize is not in a primary color box
Using the defined relationships, we can analyze the possibilities:
1. Red, Blue, and Brown can all be non-primary colors. In this case, the Prize can be in any of them since it's not in a primary color box. Therefore, one of the three boxes might have the Prize.
2. If we only consider one box being a primary color, then the Prize cannot be in it due to the note. We can discard the possibility of the Prize being in a red, blue, or brown box if it's a primary color. Now, we are left with two possible boxes for the Prize (either red or blue, or red or brown, etc).
3. If there are two primary colors between Red, Blue, and Brown, then we have to exclude two specific non-primary color boxes from the options. This leaves us with one box that may contain the Prize.
4. If there are three primary colors, they all need to be exclusive from the other boxes. In this case, the Prize will be in one of the remaining three non-primary color boxes (red, blue, or brown).
FINAL_ANSWER: Unknown. This puzzle's solution depends on the actual mix of primary and non-primary colors among the red, blue, and brown boxes. It requires additional information to determine the exact location of the Prize.</t>
  </si>
  <si>
    <t>6s3</t>
  </si>
  <si>
    <t xml:space="preserve"> First, let's define the given relationships:
- Boxes are 'on a table': RedBox, BlueBox, BrownBox
- The note states "Prize is not in a primary color box": PrizeNotInRed, PrizeNotInBlue, PrizeNotInBrown
Now we can translate these relationships and solve for the final answer. Since the prize cannot be in any primary color box, it will be in either a secondary color box or an uncolored box (we don't have information about what the secondary colors are). As there are no secondary or uncolored boxes specifically mentioned, we can deduce that there might not be any additional conditions. Thus, the prize could potentially be anywhere on the table except in one of the primary colored boxes.
FINAL_ANSWER: &lt;Answer&gt; The prize could be in RedBox, BlueBox, or BrownBox but not in a primary color box.</t>
  </si>
  <si>
    <t>7z1</t>
  </si>
  <si>
    <t>There are three doors: A, B and C. A sign reads: "The alarm is connected to exactly one door. Door A is safe. Door B is NOT safe." Which door can you safely use to exit without triggering an alarm?</t>
  </si>
  <si>
    <t xml:space="preserve"> The final answer is Door A is safe and can be used to exit without triggering an alarm since it is mentioned to be safe and none of the given information about the alarm is related to it. Additionally, both Door B being not safe and the alarm being connected to only one door do not provide any information about Door A's safety.</t>
  </si>
  <si>
    <t>7z2</t>
  </si>
  <si>
    <t xml:space="preserve"> The final answer is Door C. Since we know that Door A is safe and the alarm is connected to only one of the three doors, it must be connected to either Door B or Door C. As Door B is not safe, Door C would be the only other non-alarm-connected door, making it safe to use for exiting without triggering an alarm.</t>
  </si>
  <si>
    <t>7z3</t>
  </si>
  <si>
    <t xml:space="preserve"> The final answer is Door A. Since A is safe and the alarm is connected to only one door, it cannot be either B or C (the others being not safe). Therefore, Door A is the safest option in terms of exiting without triggering the alarm.</t>
  </si>
  <si>
    <t>7c1</t>
  </si>
  <si>
    <t xml:space="preserve"> First, let's analyze the given information:
1. The alarm is connected to exactly one door.
2. Door A is safe.
3. Door B is NOT safe.
Now, we need to find a way to go through a door that won't trigger the alarm. We know that Door A is safe, so it can be ruled out as the alarm-triggering door. This leaves us with only two options - Doors B and C. Since we have no information about Door C, we can't definitively say whether it's the alarm-triggering door or not. 
However, considering the scenario, the most logical assumption would be that the alarm-connected door is Door B, since it's mentioned to be not safe. If Door B were the alarm-connecting door, then choosing to go through Door A would still result in the alarm going off. So, we can deduce that Door A might be safe but would not solve our problem of avoiding the alarm.
To reiterate, we don't have enough information to confirm if Door C is the alarm-connecting door. Thus, the best approach would be to assume that Door B is the alarm-triggering door and try to avoid it for exiting.
Final answer: To exit without triggering the alarm, use Door C (if it exists) as it is the only untested option after eliminating Doors A and B based on the given information. If there is no Door C or its safety cannot be determined, then take caution and proceed carefully to ensure you don't accidentally activate the alarm while going through Door B. However, please note that this solution is based on the assumptions made due to the limited data provided.</t>
  </si>
  <si>
    <t>7c2</t>
  </si>
  <si>
    <t xml:space="preserve"> To solve this puzzle, let's analyze the information given step by step and eliminate the less likely options to find a safe door.
1. The alarm is connected to exactly one door out of A, B, or C. We don't know which door it is at the moment.
2. Door A is safe. This means that if we go through this door, the alarm won't be triggered, regardless of whether it's connected to Door A or not.
3. Door B is NOT safe. This implies that if we go through Door B, there's a higher likelihood of the alarm being triggered.
4. We need to determine which door we should use to safely exit without activating the alarm. Since we don't have a definite answer about the actual connection between the alarm and the doors, we can only consider our best available options based on the given information.
Final Answer: Based on the given information, we can't be completely sure, but since Door A is safe, it is the most suitable option to avoid the alarm. If we were to choose Door B, there's a higher probability of encountering the alarm. Therefore, while the exact scenario remains unknown, using Door A offers the safest possibility in this context.</t>
  </si>
  <si>
    <t>7c3</t>
  </si>
  <si>
    <t xml:space="preserve"> To solve this puzzle, let's analyze the given information step-by-step and eliminate any options that don't meet the requirements. We know:
1. The alarm is connected to exactly one door (A, B, or C).
2. Door A is safe (meaning it doesn't have the alarm connection).
3. Door B is not safe (meaning it has the alarm connection).
Now, we need to find a way to leave through a non-alarm door without triggering the alarm. Since we know the alarm is connected to one of the three doors, let's examine our options:
Option 1: Choose Door A. This option is safe because it's explicitly mentioned as being free from the alarm connection.
Option 2: Choose Door B. This option is risky as we're told that this door has the alarm connection. It would likely trigger the alarm if used.
Option 3: Choose Door C. Since we've covered the status of Doors A and B, the last remaining possibility is Door C. If this door is neither A nor B and it isn't mentioned in the given information, it's possible that Door C also lacks the alarm connection.
Reasoning: Out of the three available doors, the safest option would be to choose Door A since it's clearly stated as a safe door without any alarm connection. Even though there might be a chance that Door C is also safe, we cannot confirm this for certain based on the provided data.
Final Answer: You can safely use Door A to exit without triggering an alarm due to its explicit mention of being safe and free from the alarm connection.</t>
  </si>
  <si>
    <t>7d1</t>
  </si>
  <si>
    <t xml:space="preserve"> Step 1: Key clues - three doors (A, B, C), alarm connected to exactly one door, door A is safe, door B is NOT safe. 
Step 2: Interpretation - The alarm is connected to only one of the three doors, but we cannot know which one it is connected to from the given information. If door A is safe, then the alarm should not be connected to it as we've been told that the alarm triggers when it's connected to a non-safe door. Door B being not safe implies that the alarm might be connected to it, so we can consider it unsafe. Since we don't have explicit information about Door C, we cannot determine its safety or lack thereof.
Step 3: Combining the clues - We have concluded that Door A can be considered safe as it's mentioned explicitly and doesn't have any connection with the alarm. In contrast, Door B is not safe due to its association with the alarm. However, we cannot provide a definite answer for Door C because we do not have enough information about its relationship with the alarm.
FINAL_ANSWER: Door A can be safely used to exit without triggering an alarm. (We cannot be certain about Door C, but we know Door B is not safe and should be avoided.)</t>
  </si>
  <si>
    <t>7d2</t>
  </si>
  <si>
    <t xml:space="preserve"> Step 1: Key clues - Three doors (A, B, C), Alarm connected to only one door, Door A is safe, Door B is not safe.
Step 2: Interpretations - Since the alarm connects to just one door, it cannot be connected to both A and B. The alarm can't be connected to C because the details don't mention that. Door A being safe means we can pass through it without any issue. Door B being not safe could indicate various scenarios, including that it could lead to the alarm or some other dangerous situation if entered. 
Step 3: Combining clues - We know one door has the alarm connected, while another is safe. This leaves only one possible option, and since Door A is known to be safe, it is the best choice for exiting without triggering the alarm.
FINAL_ANSWER: &lt;Answer&gt; Exit using Door A.</t>
  </si>
  <si>
    <t>7d3</t>
  </si>
  <si>
    <t xml:space="preserve"> Step 1: Key clues: Three doors (A, B, C), The alarm connected to one door, Door A is safe, Door B is NOT safe.
Step 2: Interpretation: One door has the alarm connected to it, Door A is safe, Door B is not safe.
Step 3: Combining the clues: Since the alarm is connected to only one door, and we know that Door A is safe, then Door A cannot be the one with the alarm attached to it. We also know that Door B is unsafe. Since the alarm is not on Door A, it's most likely on either Door B or Door C. But since Door B is already known to be unsafe, it's more logical to assume Door C is the door with the alarm connection. So, we can safely use Door A to exit without triggering an alarm.
FINAL_ANSWER: Door A</t>
  </si>
  <si>
    <t>7v1</t>
  </si>
  <si>
    <t xml:space="preserve"> Analyze the puzzle step by step.
1. The alarm is connected to exactly one door.
2. Door A is safe.
3. Door B is NOT safe.
Now let's try to think of possible scenarios.
Case 1: If the alarm is connected to Door A, which is safe, it won't go off when using it. So, we may choose Door A in this case.
Case 2: If the alarm is connected to Door B, which is not safe, then using Door B will trigger the alarm. In this scenario, we wouldn't choose Door B.
Case 3: If the alarm is connected to a different door (either Door A or Door B), then the given information doesn't provide any indication of how it's wired. We could still choose Door A but there's a possibility that we could be wrong.
Since we don't have enough information to ensure we pick the correct door, we cannot fully solve the puzzle.
FINAL_ANSWER: Unable to determine a completely safe exit.</t>
  </si>
  <si>
    <t>7v2</t>
  </si>
  <si>
    <t xml:space="preserve"> To solve this puzzle, we need to find a door that is safe and will not trigger the alarm. We know that door A is safe, but it's not connected to the alarm. So, let's consider door B which is NOT safe and probably has the alarm connected. We should avoid using this door, so the last option remaining is door C.
FINAL_ANSWER: Door C</t>
  </si>
  <si>
    <t>7v3</t>
  </si>
  <si>
    <t xml:space="preserve"> First, we know that the alarm is connected to exactly one door among A, B and C. Since A is safe, it means it's not the one with the alarm. This implies either B or C has the alarm. Since B is NOT safe, this leaves C as the only other option. Therefore, we can safely use Door C to exit without triggering an alarm. FINAL_ANSWER: Door C</t>
  </si>
  <si>
    <t>7e1</t>
  </si>
  <si>
    <t xml:space="preserve"> Clue 1: Three doors - A, B and C
Clue 2: The alarm is connected to exactly one door
Clue 3: Door A is safe
Clue 4: Door B is NOT safe
Reasoning: Since the sign states that only one door has the alarm connected, we need to identify which door that is not among the safe or unsafe ones mentioned. We're given the information about the safety of doors A and B, while door C is not mentioned at all. However, we know that door A is safe and door B is not safe, but it doesn't necessarily mean they're the alarm-connected doors. If either of those two (A or B) had the alarm, we would be in danger. To avoid triggering the alarm, we must choose a door that is guaranteed to have no alarm connection. Since door C is not explicitly safe or unsafe, it might be the only remaining option. It could potentially be the alarm-connected door, but we don't have enough evidence to determine its state. Therefore, the safest choice would be to exit through the unmentioned door C, keeping in mind that this may not be fully certain. FINAL_ANSWER: Door C</t>
  </si>
  <si>
    <t>7e2</t>
  </si>
  <si>
    <t xml:space="preserve"> Clues:
1. Three doors: A, B and C
2. The alarm is connected to exactly one door
3. Door A is safe
4. Door B is NOT safe
To reason: We have information about the alarm being connected to a specific door and the safety of two doors. Since Door A is safe and we want to avoid triggering the alarm, it's best to choose a door that's not connected to the alarm. In this case, since there are only two options left (A and C) and one of them is safe (A), using Door A would be the safest choice to exit without triggering an alarm.
FINAL_ANSWER: Door A</t>
  </si>
  <si>
    <t>7e3</t>
  </si>
  <si>
    <t xml:space="preserve"> Clues:
1. There are three doors: A, B, and C.
2. The alarm is connected to exactly one door.
3. Door A is safe.
4. Door B is NOT safe.
Reasoning: Since we know that door A is safe, it cannot be the door that has the alarm connected to it. The remaining options are doors B and C. We are also told that door B is NOT safe, which again implies that the alarm could not be connected to it. Therefore, the only option left for a door to have the alarm connected to it would be door C.
FINAL_ANSWER: To exit without triggering an alarm, you should choose door C.</t>
  </si>
  <si>
    <t>7g1</t>
  </si>
  <si>
    <t xml:space="preserve"> 
1. Clue 1: There are three doors: A, B and C
2. Clue 2: A sign reads: "The alarm is connected to exactly one door"
3. Clue 3: Door A is safe. Door B is NOT safe.
4. End goal: Find a door to exit without triggering the alarm
Solution: Since we know that the alarm is connected to one specific door, and we have three options (A, B, and C), then it's not possible for both Door A and Door B to be safe when one of them has a not-safe condition mentioned. Considering this, Door C could potentially be the safe door which isn't mentioned in any clue, thus making it unclear whether or not it will set off the alarm. Therefore, based on the information given, we cannot determine the safest door to use without triggering the alarm.
FINAL_ANSWER: None of the given options provide certainty</t>
  </si>
  <si>
    <t>7g2</t>
  </si>
  <si>
    <t xml:space="preserve"> Clue 1: There are three doors: A, B and C.
Clue 2: A sign reads: "The alarm is connected to exactly one door. Door A is safe. Door B is NOT safe."
Interpretation: There are three doors available (A, B, and C) that could have an alarm connected to it. The sign indicates that there's just one door connected to an alarm. It states that Door A is a safe door (not related to the alarm), while Door B is not a safe door because it is connected to the alarm system.
Solution: Since we want to exit without triggering the alarm, we should avoid using Door B since it's mentioned as "NOT safe" and has a connection to the alarm system. Door A is explicitly safe and not related to the alarm, so we can use Door A for exiting without any issues.
FINAL_ANSWER: Door A</t>
  </si>
  <si>
    <t>7g3</t>
  </si>
  <si>
    <t xml:space="preserve"> Clues:
1. Three doors: A, B, and C
2. A sign about the alarm being connected to exactly one door
3. Door A is safe
4. Door B is NOT safe
Solving:
Since the alarm is connected to only one of the three doors, we can eliminate any door that has a connection to the alarm. This leaves us with either door A or door C since door B is stated as NOT safe. Since door A is mentioned to be safe, this means it does not have a connection to the alarm. Therefore, we can safely exit using door A without triggering an alarm.
FINAL_ANSWER: Door_A</t>
  </si>
  <si>
    <t>7s1</t>
  </si>
  <si>
    <t xml:space="preserve"> First, let's define our relationships in a dictionary:
{
    "door-connection": {
        "A": [],
        "B": [],
        "C": []
    },
    "door-safety": {
        "A": "safe",
        "B": "not safe",
        "C": ""
    }
}
Now, let's deduce some additional information based on given statements:
- The alarm is only connected to one door.
- We don't need to consider door 'C' because it has no safety label.
We can represent these relationships as follows:
{
    "door-connection": {
        "A": [],
        "B": [],
        "C": []
    },
    "door-safety": {
        "A": "safe",
        "B": "not safe"
    },
    "alarm-related-door": [&lt;A or B&gt;]
}
To solve the puzzle, we have to find out which door is related to the alarm and is also safe. Let's iterate through the possible options:
1. If alarm-related-door is 'A', we need to check if 'A' is safe. In this case, it is, so we can exit via door 'A' safely without triggering an alarm.
2. If alarm-related-door is 'B', it should not be safe due to the given statement. In this case, we cannot use it safely without triggering the alarm.
After analyzing all possibilities, we can conclude that the 'FINAL_ANSWER' for exiting the doors safely without triggering an alarm is: 'A' if door 'A' is connected to the alarm, and the alarm is connected to any other door, then 'B'.</t>
  </si>
  <si>
    <t>7s2</t>
  </si>
  <si>
    <t xml:space="preserve"> To translate the puzzle into structured relationships, we can represent each statement as a rule. Let's break it down.
1. There are three doors: A, B, and C. (Irrelevant information)
2. A sign reads: This connects two facts about the doors. We can add the rules from the sign to the relationships list:
   a. The alarm is connected to exactly one door -&gt; no relationship can be formed from it directly, but it implies that there's an alarm-related relationship between the doors. We will analyze it later.
   b. Door A is safe. (A is not related to an alarm) -&gt; A&lt;safe
   c. Door B is NOT safe. (B is not related to an alarm) -&gt; B&lt;NOT_safe
3. We need to find which door can be used safely to exit without triggering an alarm. To achieve this goal, we must compare the safety levels of the doors. Since the alarm is connected to only one door, we can assume that the other two doors are unrelated to the alarm. Therefore, the remaining relationships will focus on comparing A and B's safety levels.
Now, let's rewrite the relationships list in a format suitable for solving the problem using the initial conditions provided in the puzzle. 
Conditions:
- A&lt;safe
- B&lt;NOT_safe
Questions:
1. Which door has the higher safety level among A and B?
2. Is either door connected to the alarm?
3. Can we use the door that has the highest safety level to exit without triggering an alarm if it's not connected to the alarm?
4. If both A and B are connected to the alarm, what should we do?
5. If any of the conditions above doesn't apply, then which door can we safely use to exit?
FINAL_ANSWER: &lt;Answer&gt;
Now we have organized the puzzle into structured relationships that can be analyzed. The final step is to solve the puzzle using these relationships and understand the rules given for every possible case mentioned in the questions. We'll use the relationships and deduce a solution for each condition mentioned.
1. Comparing A and B's safety levels, we see that A&lt;safe and B&lt;NOT_safe. So, A has a higher safety</t>
  </si>
  <si>
    <t>7s3</t>
  </si>
  <si>
    <t xml:space="preserve"> To translate the relationships, we will assign symbols to doors A, B, and C and the associated properties: A (safe), B (NOT safe, alarm connected), C (unknown).
A is safe -&gt; A is not marked (UNMARKED)
B is NOT safe -&gt; B is MARKED (NOT_SAFE)
C has no property mentioned -&gt; C is UNKNOWN
Now the given relationships can be represented as:
A (UNMARKED)
B (MARKED, NOT_SAFE, ALARM_CONNECTED)
C (UNKNOWN)
From the given information, we understand that only a single door can have an alarm connected. If we choose any other door except that particular one, we will avoid triggering an alarm. Therefore, we must check which doors have alarm connections.
Among doors B and C, both are known to have some marks (MARKED and UNKNOWN respectively). Door A is safe by default since it's unmarked. However, this doesn't necessarily mean it doesn't have an alarm connected. Since we need to find a way out without activating the alarm, the best option would be to choose the door with the least chance of being the one with the connected alarm.
Since door A is unmarked and has no specific properties mentioned, the probability for it having an alarm connection is low compared to B and C. As for B and C, there's a known mark on B indicating its unsafe nature. We cannot predict anything about C's safety or alarm status due to lack of information.
So FINAL_ANSWER: A (UNMARKED)</t>
  </si>
  <si>
    <t>8z1</t>
  </si>
  <si>
    <t>There are three lamps: red, yellow, and green. A note says: "only the lamp that means go will turn on when you press it". Which lamp should you press?</t>
  </si>
  <si>
    <t xml:space="preserve"> The final answer is to press the green lamp as it represents "go".</t>
  </si>
  <si>
    <t>8z2</t>
  </si>
  <si>
    <t xml:space="preserve"> The final answer is you should press the green lamp as it represents 'go'.</t>
  </si>
  <si>
    <t>8z3</t>
  </si>
  <si>
    <t xml:space="preserve"> The final answer is to press the green lamp as it represents 'go'.</t>
  </si>
  <si>
    <t>8c1</t>
  </si>
  <si>
    <t xml:space="preserve"> To solve this puzzle, we need to analyze each color's meaning and determine which one signifies 'go'. The options given are red, yellow, and green. We'll consider their common meanings in traffic lights. 
1. Red usually represents 'stop', which is a sign to halt or not proceed further. 
2. Green typically symbolizes 'go', which indicates moving forward or advancing in an appropriate way. 
3. Yellow can represent both 'caution' or 'prepare to stop'. However, it doesn't directly signify 'go'. 
Since green is the most commonly recognized 'go' color, we should press the green lamp according to the given context. Therefore, the final answer is the green lamp. You should press it as it aligns with the intended meaning of 'go' in this situation.</t>
  </si>
  <si>
    <t>8c2</t>
  </si>
  <si>
    <t xml:space="preserve"> Let's analyze the given information step-by-step:
1. We have three lamps - red, yellow, and green.
2. A lamp signifies either 'stop' or 'go'. 
3. One of these lamps represents 'go', meaning it should be turned on when pressed to move forward (or progress in some context).
4. The other two lamps (red and yellow) could potentially represent 'stop'.
5. We need to determine which lamp is the 'go' lamp by process of elimination.
6. If we were to press a 'go' lamp, it would turn on. If we were to press a 'stop' lamp, it wouldn't.
7. Given the note's message, pressing the lamps one at a time, noting their behavior, we can figure out which is the 'go' lamp.
Now let's test each lamp one by one:
1. Press the red lamp - no response. Since it didn't turn on, it might not be the 'go' lamp.
2. Press the yellow lamp - no response. This further indicates that it's not the 'go' lamp.
3. Press the green lamp - the green lamp turns on when pressed. This implies that the green lamp is the one representing 'go'.
Final answer: You should press the green lamp since it is the only lamp that represents 'go' and will turn on when pressed, allowing you to move forward.</t>
  </si>
  <si>
    <t>8c3</t>
  </si>
  <si>
    <t xml:space="preserve"> To solve this puzzle step-by-step, let's analyze the given information and the task. We have three lamps - red, yellow, and green. The goal is to identify which lamp represents "go" and should be turned on when pressed. It's mentioned that only the relevant lamp should turn on when pressed.
Step 1: Understand the meaning of each color in relation to traffic signals or symbols. Red often signifies stop, while green typically stands for go. Yellow may represent a caution or a transition between colors.
Step 2: Considering the given context, we can eliminate the red lamp since its usual symbolism is related to stopping rather than going.
Step 3: With red out of the picture, we're left with two remaining lamps - yellow and green. Green commonly represents go or permission to proceed, while yellow may be a secondary indicator.
Step 4: Given the statement "only the lamp that means go will turn on when you press it," we can infer that the desired action relates to the 'go' symbolism. Since green is more directly associated with "go," it is more likely to be the correct answer.
Final Answer: You should press the green lamp as it has the strongest association with the concept of 'go.' However, without more specific context or additional information, we can't entirely rule out the possibility of the yellow lamp being relevant in another scenario.</t>
  </si>
  <si>
    <t>8d1</t>
  </si>
  <si>
    <t xml:space="preserve"> Step 1: Key clues - three lamps (red, yellow, and green), one meaning 'go', pressing a specific lamp turns it on.
Step 2: Interpreting clues - The color representing 'go' should be chosen. When the 'go' lamp is pressed, it will be the only one to turn on.
Step 3: Combining clues - We have three lamps with different colors. The 'go' color represents a direction or decision about proceeding. Since the puzzle states that the 'go' lamp should be turned on by pressing it, we can deduce that the 'go' color is the correct one among the mentioned lamps.
FINAL_ANSWER: Red, Yellow, or Green, but the one that represents 'go' should be pressed.</t>
  </si>
  <si>
    <t>8d2</t>
  </si>
  <si>
    <t xml:space="preserve"> Step 1: Key clues: Three lamps (red, yellow, green), "only the lamp that means go", "will turn on when you press it"
Step 2: Interpreting the clues: The statement implies we need to identify which lamp has the meaning of 'go'.
Step 3: Combining the clues: We have three lamps - red, yellow, and green. Since we don't know their meanings, we can assume 'go' could relate to any of the colors. As there is no context or additional information provided, the final interpretation is inconclusive.
FINAL_ANSWER: &lt;Inconclusive&gt;</t>
  </si>
  <si>
    <t>8d3</t>
  </si>
  <si>
    <t xml:space="preserve"> Step 1: Key clues in the puzzle - Three lamps (red, yellow, green), "only the lamp that means go", "will turn on when you press it".
Step 2: Interpret each clue
- Lamp colors: Red, yellow, and green.
- "Only the lamp that means go": This is referring to a specific action or direction.
- "Will turn on when you press it": This implies that pressing a certain lamp might result in it turning on.
Step 3: Combine the clues to reach a conclusion
- The lamp associated with the "go" action needs to be identified.
- This can infer that the desired lamp represents a direction/action of moving forward.
- Green is typically associated with 'go'.
- Therefore, press the green lamp.
FINAL_ANSWER: &lt;Answer&gt; Press the green lamp.</t>
  </si>
  <si>
    <t>8v1</t>
  </si>
  <si>
    <t xml:space="preserve"> Analyzing the puzzle: We have to identify the lamp that represents 'go' among the three lamps - red, yellow, and green. When we press the right one, it turns on. The clue states only that lamp should be on when pressed. 
We need to consider the common meanings of each color. Red often symbolizes stop, yellow signifies caution, and green usually represents go or move forward. Since the color representing 'go' is asked for, this narrows it down to green. 
Final Answer: FINAL_ANSWER: Green</t>
  </si>
  <si>
    <t>8v2</t>
  </si>
  <si>
    <t xml:space="preserve"> First, consider the colors and their meanings: red (stop), yellow (caution), and green (go). The goal is to find the 'go' color to know which lamp to press to turn on. Since 'go' usually refers to green, we choose the green lamp.
FINAL_ANSWER: Green</t>
  </si>
  <si>
    <t>8v3</t>
  </si>
  <si>
    <t xml:space="preserve"> Analyze the given situation step by step. We have three lamps: red, yellow, and green. The task is to find the lamp which indicates 'go'. Typically, 'go' implies moving forward. Green signifies that it is safe to move or proceed. Therefore, we choose the green lamp as it represents the action 'go'. 
Finally, output your answer as: FINAL_ANSWER: Green Lamp</t>
  </si>
  <si>
    <t>8e1</t>
  </si>
  <si>
    <t xml:space="preserve"> Clues: 
1. Three lamps - red, yellow, and green
2. A note mentions only one lamp turns on when pressed
3. The relevant lamp symbolizes 'go'
Reasoning: We need to find the lamp that signifies 'go'. Out of the three lamps (red, yellow, green), we have two colors 'red' and 'green' which represent common traffic lights but they don't have any 'yellow'. Therefore, 'yellow' is a neutral color, and not directly related to 'go'. This leaves 'red' and 'green' as potential options for the 'go' lamp. Since 'red' often represents stop or caution in traffic signals, it's less likely to be the 'go' lamp. Thus, FINAL_ANSWER: &lt;Green&gt;</t>
  </si>
  <si>
    <t>8e2</t>
  </si>
  <si>
    <t xml:space="preserve"> Clues: Three lamps: red, yellow, and green. Note says: only the lamp that means go will turn on when pressed.
Reasoning: We know there are three different colors of lamps - red, yellow, and green. The goal is to find the one that represents "go." Since we do not have specific meaning for each color, we can use the common understanding that green is often used for 'go' in many contexts like traffic lights. Therefore, we can assume the green lamp represents 'go'.
FINAL_ANSWER: Green lamp</t>
  </si>
  <si>
    <t>8e3</t>
  </si>
  <si>
    <t xml:space="preserve"> Clues: 
1. Three lamps: red, yellow, and green.
2. A note mentions only one lamp that signifies 'go' will turn on when pressed.
3. The note also states to not create new clues or interpretations but only use information as given.
Reasoning: Since we cannot assume or make up meanings for the lamps, we need to look at what is provided to identify the 'go' lamp among the three options. We can deduce that 'go' could possibly represent a common term in traffic lights - green usually implies 'go'. Thus, we can conclude the green lamp might be the one meant in the context of the note.
FINAL_ANSWER: Green</t>
  </si>
  <si>
    <t>8g1</t>
  </si>
  <si>
    <t xml:space="preserve"> Clues: 
1. Three lamps: red, yellow, and green.
2. A note says: "only the lamp that means go will turn on when you press it".
Interpretation: The goal is to identify the lamp which represents 'go' and can be turned on by pressing it. The lamps available are colored red, yellow, and green.
Solution: It is unclear what 'go' refers to for each color. However, we can assume 'red' for 'stop', 'yellow' for 'caution', and 'green' for 'go'. Since 'go' is the one that indicates permission to proceed, the most suitable lamp to press is the green one.
FINAL_ANSWER: Green</t>
  </si>
  <si>
    <t>8g2</t>
  </si>
  <si>
    <t xml:space="preserve"> First, the given clues are: there are three lamps - red, yellow, and green; a note says; "only the lamp that means go will turn on when you press it"; which lamp should you press; and finally end with: FINAL_ANSWER: &lt;Answer&gt;. In order to solve this puzzle, we have to identify the lamp which represents 'go' amongst the three colours and make use of this information to select the correct lamp.
Step 2 (Interpreting each clue)
- Identify three lamps: red, yellow, and green
- The note gives context to choose a lamp
- The lamp chosen must represent 'go'
- Pressing the chosen lamp should make it turn on
Step 3 (Solving the puzzle)
- Amongst the three colours, 'green' often symbolizes 'go', especially in traffic lights. So, the lamp representing 'go' should be the green one.
- Since the goal is to press the chosen lamp, the final answer is to press the green lamp.
- FINAL_ANSWER: Green Lamp</t>
  </si>
  <si>
    <t>8g3</t>
  </si>
  <si>
    <t xml:space="preserve"> 
1. Clues: Three lamps - red, yellow, and green. A note - only the lamp that means go - will turn on when you press it. Press a specific lamp.
2. Interpretation: The lamps have different colors, and there is a note instructing to find the one associated with 'go'. The user needs to press the right lamp among the three options provided.
3. Solving: Among the three lamps (red, yellow, and green), the 'green' color is often associated with 'go' or 'start', and it fits the context of the puzzle. So, the final answer is: FINAL_ANSWER: Green</t>
  </si>
  <si>
    <t>8s1</t>
  </si>
  <si>
    <t xml:space="preserve"> Relationships: Red lamp is unrelated, Yellow lamp is unrelated, Green lamp represents 'go'. To turn on 'go' lamp, press the one that signifies 'go'.
FINAL_ANSWER: Green lamp</t>
  </si>
  <si>
    <t>8s2</t>
  </si>
  <si>
    <t xml:space="preserve"> We have the following relationships:
1. Red, Yellow, Green are Lamps (Lamps can be Red, Yellow, or Green)
2. A note exists about which lamp represents 'go' (Note is about a specific lamp)
3. If the lamp represents 'go', then it will turn on when pressed (Lamp turned on condition)
4. The action is pressing the relevant lamp (Pressing the right lamp)
5. The aim is to find out the correct lamp to press (Determine which lamp to press)
6. The end goal is finding the answer (FINAL_ANSWER)
Now let's translate them into a structured relationship format.
1. Lamp = {Red, Yellow, Green}
2. Note = {Note about particular lamp}
3. Condition = {Lamp represents 'go' =&gt; Lamp turns on when pressed}
4. Action = {Press the right lamp}
5. Objective = {Find the correct lamp to press}
6. Final Answer = {FINAL_ANSWER: &lt;Answer&gt;}
To solve the puzzle using these relationships:
First, we need to identify the 'go' lamp by analyzing the given information. Since there's only one lamp that means 'go' and will turn on when pressed, we can infer the 'go' lamp is the one that does both of these actions. Let's use 'Red' as an example and assume it's the 'go' lamp.
Now, we need to apply the translations:
Action: Press the right lamp =&gt; Press the Red Lamp
Objective: Find the correct lamp to press =&gt; Find the Red Lamp
Final Answer: FINAL_ANSWER: Red
In this case, the answer is the color Red, which should be the 'go' lamp you want to press when it's time to move. However, without knowing your specific context and lamps you have in real life, we cannot guarantee that 'Red' will always be the correct answer for different scenarios.</t>
  </si>
  <si>
    <t>8s3</t>
  </si>
  <si>
    <t xml:space="preserve"> Create a relationship network from the given information. We can have three lamps (Red, Yellow, Green) and an action (Pressing the lamp). The desired outcome (the lamp to turn on) has a condition (it represents 'go'). Since the statement mentions that only the lamp that represents 'go' will turn on, we can infer this relationship as the lamp representing 'go' is the one that will light up when pressed.
Now, let's translate the given information into structured relationships:
1. A note is given with a purpose to guide us to identify the lamp representing 'go'.
2. There are three lamps: Red, Yellow, and Green.
3. Only the lamp that represents 'go' will turn on when pressed.
So, the relationships in a simplified way would be: Note -&gt; Guide for identifying the 'go' lamp; Lamp -&gt; Red, Yellow, Green; Go -&gt; One of the Lamps; Pressing -&gt; Turn on Lamp; Lamp Condition -&gt; If Lamp is 'Go', It will Turn on.
Now, the solution for the final answer would involve finding the lamp that best fits the condition of being a 'go' lamp. In order to do that, we'd require more context about what 'go' means or perhaps more criteria to understand the meaning. Without further information, we can't accurately determine which lamp to press.
FINAL_ANSWER: Unable to determine the answer without more context.</t>
  </si>
  <si>
    <t>9z1</t>
  </si>
  <si>
    <t>Three safes are labeled 7, 9 and 3. A note says: "The password is in the safe with the highest number." Which safe should you open?</t>
  </si>
  <si>
    <t xml:space="preserve"> The final answer is to open safe 9 as it has the highest number among the three safes labeled 7, 9, and 3.</t>
  </si>
  <si>
    <t>9z2</t>
  </si>
  <si>
    <t xml:space="preserve"> The final answer is to open the safe labeled as 9. This is because the given information states that the password is in the safe with the highest number among the three (7, 9, and 3). Since 9 is the highest among them, it is the safe you need to open.</t>
  </si>
  <si>
    <t>9z3</t>
  </si>
  <si>
    <t xml:space="preserve"> Since the password is in the safe with the highest number, you should open Safe 9 as it has the largest label among the three given (7, 9, and 3).</t>
  </si>
  <si>
    <t>9c1</t>
  </si>
  <si>
    <t xml:space="preserve"> Let's analyze the given problem step by step to understand and deduce the correct safe to open.
Step 1: Identify the safes' labels
There are three safes, and they are labeled as follows: 
1. Safe 7
2. Safe 9
3. Safe 3
Step 2: Determine which safe has the highest label
Compare the labels of the safes to find the one with the highest number. In this case, we have to compare 7, 9, and 3.
- 7 &lt; 9 &lt; 3 (since 7 comes after 3 but before 9)
So, the highest number is associated with Safe 9.
Step 3: Understand the statement regarding the password
According to the note, the password can be found in the safe with the highest number among the three.
Step 4: Apply the given information to determine the safe to open
Since the highest number corresponds to Safe 9, according to the statement, it would be logical to assume that the password can be found in that same safe, i.e., Safe 9.
Final Answer: You should open Safe 9 since it has the highest label among the three safes, and the password is supposedly within it according to the note.</t>
  </si>
  <si>
    <t>9c2</t>
  </si>
  <si>
    <t xml:space="preserve"> To solve this puzzle, we need to determine which of the three safes (labeled 7, 9, and 3) has the highest number. We will compare the numbers one by one.
Step 1: Compare 7 to 9
Since 7 is smaller than 9, we can say that 9 is the higher number among the two safes 7 and 9.
Step 2: Compare 9 to 3
Now we'll compare 9 with 3. Since 9 is larger than 3, 9 is still the highest of all safes so far.
Step 3: Assess the situation
At this point, we only have two safes left (7 and 3), and we already know that the safest with the largest number is safe 9.
Final Answer: Since the password is in the safe with the highest number, you should open safe 9. The reasoning is based on comparing the safes' labels, where 9 is found to be the highest number among the available options.</t>
  </si>
  <si>
    <t>9c3</t>
  </si>
  <si>
    <t xml:space="preserve"> To solve this puzzle step-by-step, let's follow these steps:
1. Identify the given information: We have three safes with labels - 7, 9, and 3. The password for these safes is in the one with the highest number.
2. Compare the numbers on the labels: Among the given labels, 7, 9, and 3, we need to find the highest number. Comparing them, 9 is the highest number.
3. Determine which safe to open based on the highest number: Since the password is in the safe with the highest number, we should open the safe with label 9.
4. Provide the final answer: The final answer is that you should open safe with the label '9' as it has the highest number among the given safe labels, and according to the clue, the password is stored there.</t>
  </si>
  <si>
    <t>9d1</t>
  </si>
  <si>
    <t xml:space="preserve"> Step 1: Key clues - Labels on safes (7, 9, 3), The password is in the safe with the highest number.
Step 2: Interpretation - The safes have specific labels (7, 9, 3). Among these numbers, the password will be found in the one with the greatest number.
Step 3: Combine the clues - Comparing the numbers, 9 is the greatest among 7, 9, and 3.
FINAL_ANSWER: Open the safe with label 9.</t>
  </si>
  <si>
    <t>9d2</t>
  </si>
  <si>
    <t xml:space="preserve"> Step 1: Key clues - Three safes labeled, Password in the safe with the highest number (highest number among 7, 9 and 3).
Step 2: Interpreting clues - We know there are three safes with numbers on their label. The password is in the safe having the highest number among these.
Step 3: Combining the clues - The safes are labeled with 7, 9, and 3. Among these, 9 is the highest number. So, we need to open the safe with the highest number which has the password.
FINAL_ANSWER: &lt;Answer&gt; Open the safe with label 9.</t>
  </si>
  <si>
    <t>9d3</t>
  </si>
  <si>
    <t xml:space="preserve"> Step 1: Key clues: Labels on safes (7, 9, 3), Password location (in the safe with the highest number)
Step 2: Interpretation of Clues: The safes have different labels (7, 9, 3). Since we need the password for a specific safe, it should be the one with the highest numbered label. The note tells us to look for the safe with the highest number to find the password.
Step 3: Combining the clues: Considering the given information and the clue about the password being in the safest, we need to find the safe with the highest number. Among the three safes (7, 9, 3), 9 has the highest number. Therefore, we will open safe 9.
FINAL_ANSWER: &lt;Answer&gt; Open safe 9.</t>
  </si>
  <si>
    <t>9v1</t>
  </si>
  <si>
    <t xml:space="preserve"> Analyzing the puzzle: We have three safes with labels 7, 9, and 3. The password is in the safe with the highest number. We need to find which safe has the highest number and then open it to get the password. Comparing the numbers, 9 is the highest among the given options. So, we should open the safe labeled with 9. Final answer: FINAL_ANSWER: Safe 9
Now checking if the solution satisfies all clues: Our reasoning led us to open a safe with the highest number which is indeed mentioned in the clue. So, our answer does satisfy all the clues provided. 
Final Answer: FINAL_ANSWER: Safe 9</t>
  </si>
  <si>
    <t>9v2</t>
  </si>
  <si>
    <t xml:space="preserve"> Solving the puzzle normally: The password is in the safe with the highest number. Since there are 3 safes with numbers 7, 9 and 3, the highest number is either 9 or 7 (as 9 is greater than both 7 and 3). However, 9 is not a typical safe number for any code, so it's more likely to be 7. So, we should open safe 7.
Checking whether the answer satisfies all clues: The clue states that the password is in the safe with the highest number. In this case, we have concluded that the highest number is 7 (either 7 or 9 can be high but 7 is a more probable safe number). Therefore, the solution is reasonable as it aligns with the clue.
FINAL_ANSWER: Safe 7</t>
  </si>
  <si>
    <t>9v3</t>
  </si>
  <si>
    <t xml:space="preserve"> First, identify the highest number among the safes (7, 9, and 3). The highest number is 9, so the safest with that number has the password. FINAL_ANSWER: Safe_9
Now let's check if it satisfies the clues. Clue: "The password is in the safe with the highest number." This clue confirms that we need to open the safe with the highest number. Since our calculated answer matches this condition, it seems correct. Final Answer: Safe_9</t>
  </si>
  <si>
    <t>9e1</t>
  </si>
  <si>
    <t xml:space="preserve"> Clues: 
1. Three safes are labeled 7, 9, and 3.
2. The password is in the safe with the highest number.
Reasoning: Comparing the numbers of the safes, 7 is smaller than 9, which in turn is smaller than 3. The concept of highest here refers to the largest number among the given options. Since 3 is the largest out of 7, 9, and 3, we can deduce that the password would be found in the safe labeled 3.
FINAL_ANSWER: Safe 3</t>
  </si>
  <si>
    <t>9e2</t>
  </si>
  <si>
    <t xml:space="preserve"> Clue 1: Three safes are labeled 7, 9, and 3.
Clue 2: A note says "The password is in the safe with the highest number."
Reasoning: To find the safe with the highest number, we need to compare the numbers on the labels of the safes. Since 9 is greater than 7 and also greater than 3, it has the highest number among the given options. Therefore, the safe to be opened is labeled 9. FINAL_ANSWER: Safe 9</t>
  </si>
  <si>
    <t>9e3</t>
  </si>
  <si>
    <t xml:space="preserve"> Clues provided: Three safes labeled 7, 9, and 3. A note says "The password is in the safe with the highest number."
Reasoning: Since we have to find the safe with the highest number, we need to compare the labels of the safes 7, 9, and 3. 
7 &lt; 9 &lt; 3 (since 7 comes before 9 which comes before 3)
FINAL_ANSWER: The safes with the highest number should be opened and it is the safe labeled 3.</t>
  </si>
  <si>
    <t>9g1</t>
  </si>
  <si>
    <t xml:space="preserve"> Clue list:
1. Three safes are labeled 7, 9 and 3.
2. A note says: "The password is in the safe with the highest number."
3. We have to find which safe to open.
4. FINAL_ANSWER: &lt;Answer&gt;
Interpretation:
1. There are three safes, each having a label of a different number.
2. The password is found in the safe that has the biggest number among them.
3. Our task is to determine which safe we should open to get to the password.
4. After we've figured out the answer, we need to include it in the given format as "FINAL_ANSWER: &lt;Answer&gt;".
Solution:
Compare the numbers on the safes - 7, 9, and 3. Among these, 9 is the largest, so the password is in the safe labeled '9'. The safes labeled '7' and '3' can be ignored.
FINAL_ANSWER: Safe 9</t>
  </si>
  <si>
    <t>9g2</t>
  </si>
  <si>
    <t xml:space="preserve"> Clues:
1. There are three safes labeled 7, 9 and 3.
2. A note says: "The password is in the safe with the highest number."
3. We need to find which safe to open.
4. The goal is to follow the steps provided to reach a final answer.
5. Use only these clues to solve the puzzle.
Interpretation of clues:
1. There are three safes with distinct numbers (7, 9, and 3).
2. To find the location of the password, we must identify the safe with the highest number among them.
3. Our main task is to determine which one of the three safes to open, based on the provided information.
4. The process involves understanding the problem and working through it step by step to reach a final conclusion.
5. Only these five clues must be used to solve the puzzle.
Solution using only these clues:
First, compare the numbers (7, 9, and 3) to find the highest number. Among them, 9 is the highest number. Therefore, the safe labeled '9' should be opened according to the note since it has the highest number. FINAL_ANSWER: Safe_9</t>
  </si>
  <si>
    <t>9g3</t>
  </si>
  <si>
    <t xml:space="preserve"> Clues:
1. Three safes are labeled 7, 9, and 3.
2. A note says: "The password is in the safe with the highest number."
3. The goal is to determine which safe to open based on the given information.
Interpretation of clues:
1. There are three safes, each with a different label - 7, 9, and 3.
2. The password is located within one of these safes, depending on the number they have.
3. The safest number is the highest among the given labels (7, 9, and 3). In this case, 'highest' can be interpreted as 'the largest value' or 'the maximum'.
4. To solve the puzzle, find out which safe has the highest label (7, 9, or 3) and open it as that's where the password would be.
Solving the puzzle:
1. Determine the highest label - Compare the numbers 7, 9, and 3. The largest value is 9, then comes 7, and finally, 3 is the smallest.
2. Identify the corresponding safe - Since 9 is the highest label, the safe we want is the one labeled with 9.
3. Conclusion - Open the safe labeled 9, as it has the highest number and contains the password according to the given note. FINAL_ANSWER: Safe 9</t>
  </si>
  <si>
    <t>9s1</t>
  </si>
  <si>
    <t xml:space="preserve"> To translate the given puzzle into structured relationships, let's first create variables for the different safes and their corresponding numbers.
Safes = {7, 9, 3}
Numbers = {7, 9, 3}
Password_safe_label = "The password is in the safe with the highest number."
Now let's find out which safe has the highest number:
Highest_number_index = max(Numbers.index(num) for num in Numbers)
Highest_number_safe = Safes[Highest_number_index]
Using the translated relationships, we can now determine the final answer:
FINAL_ANSWER: The safest to open is &lt;Highest_number_safe&gt;</t>
  </si>
  <si>
    <t>9s2</t>
  </si>
  <si>
    <t xml:space="preserve"> Let's define the relationships:
- Labeling order: 7 &lt; 9 &lt; 3 (ascending order)
- The password is in the safe with the highest number.
Using these relationships and solving the problem, we can say that the safe with the highest number is the one with label 9.
FINAL_ANSWER: Open the safe with label 9.</t>
  </si>
  <si>
    <t>9s3</t>
  </si>
  <si>
    <t xml:space="preserve"> Relationships (converted to the format &lt;A&gt;&lt;Relationship&gt;&lt;B&gt;):
1. Labels of safes: 7&lt;Label&gt;&lt;9,3&gt;
2. Safe order: 7&lt;Order&gt;&lt;9,3&gt;
3. Note: "The password is in the safe with the highest number"&lt;Note&gt;&lt;Highest_number&gt;&lt;Password&gt;
4. Labels have numbers: 7&lt;Has_number&gt;&lt;9,3&gt;
5. Highest number safe: &lt;Highest_number&gt;&lt;7,9,3&gt;
Applying these relationships to find the solution:
1. Find the safes with their label names (7, 9, and 3)
2. Sort the safes by their labels (in alphanumeric order) so that 7 comes first, then 9, followed by 3 (since 7&lt;9&lt;3)
3. Use the note to indicate the password is in the safest among the sorted safes
4. Identify the safest safe which is the one with the highest number from the list of safes (7, 9, and 3)
FINAL_ANSWER: 7</t>
  </si>
  <si>
    <t>10z1</t>
  </si>
  <si>
    <t>Four people lining up to leave the room: Alex, Bella, Chris, and Dana. Alex is first in line. Dana is last in line. Bella is in front of Chris. What is the order from first to last?</t>
  </si>
  <si>
    <t xml:space="preserve"> The final order from first to last is: Alex, Bella, Chris, Dana.</t>
  </si>
  <si>
    <t>10z2</t>
  </si>
  <si>
    <t>10z3</t>
  </si>
  <si>
    <t xml:space="preserve"> The final order from first to last is Alex, Bella, Chris, Dana.</t>
  </si>
  <si>
    <t>10c1</t>
  </si>
  <si>
    <t xml:space="preserve"> To solve the given problem step by step, let's identify each person's position in the queue based on the given information. We know that the positions can be described using a sequence: [1st (Alex), 2nd (Bella), 3rd (Chris), 4th (Dana)].
Now we need to arrange these people according to their given relationship. The only thing mentioned about their positions relative to each other is "Bella is in front of Chris." This means Bella is between Alex and Chris in the queue. So, we can rewrite the sequence as [1st (Alex), 3rd (Chris), 2nd (Bella), 4th (Dana)].
Finally, to determine the order from first to last, we simply list the people following their assigned positions in the given sequence. So, the order from first to last is: Alex, Chris, Bella, Dana. This is the result obtained after considering the mentioned relationships and organizing the people's positions accordingly.</t>
  </si>
  <si>
    <t>10c2</t>
  </si>
  <si>
    <t xml:space="preserve"> To determine the order of the people from first to last, we will consider their relative positions in the line as described and work our way through it.
1. We know that Alex is the first person in line since they are mentioned to be at the front.
2. Next, we have Bella who is in front of Chris, so she must occupy a place between Alex and Chris.
3. The remaining person is Dana, who has been stated as the last one in line.
4. Now we can combine the information to arrange the people's positions: Alex (first), Bella (second), Chris (third), and Dana (fourth). This forms the complete order from first to last for this scenario.
Final Answer: The order is Alex, Bella, Chris, and Dana.</t>
  </si>
  <si>
    <t>10c3</t>
  </si>
  <si>
    <t xml:space="preserve"> To find the order from first to last, we need to analyze each given information step by step and arrange them accordingly. Here's the step-by-step process:
1. We know that the order is Alex, Bella, Chris, and Dana.
2. Alex is mentioned to be first in line, which means he should be on the top of the list. So our initial list becomes: [Alex, Bella, Chris, Dana]
3. It's mentioned that Bella is in front of Chris, which means she'll come before him in the line. So, rearranging the list will become: [Alex, Bella, Bella-Chris, Dana]
4. Lastly, it's stated that Dana is last in line, indicating that she comes after the person right before her. Since there's only one more person (Bella-Chris) before her, we can infer that 'Bella-Chris' represents both Bella and Chris. Rearranging once more, we have: [Alex, Bella, Bella-Chris, Dana] -&gt; [Alex, Bella, Bella, Chris, Dana].
5. Now that we have the entire list with everyone's position, the order from first to last is: Alex, Bella, Bella, Chris, and Dana.
The final answer is that the order from first to last is Alex, Bella, Bella, Chris, and Dana.</t>
  </si>
  <si>
    <t>10d1</t>
  </si>
  <si>
    <t xml:space="preserve"> Step 1: Key clues - Four people, lining up, leaving the room, Alex, Bella, Chris, Dana, Alex first, Dana last, Bella in front of Chris.
Step 2: Interpretations - People are lining up in an order. The four individuals mentioned form a sequence. Alex starts the sequence being first in line. Dana is at the end, making her the last in the sequence. Bella is in between Chris and Alex, which implies that she is not the first but before Chris in the sequence.
Step 3: Combine the clues to reach a conclusion - Alex is first, then comes Bella (not first), followed by Chris (before Dana), and Dana is the last. So, the complete sequence from first to last is Alex, Bella, Chris, and Dana.
FINAL_ANSWER: &lt;Answer&gt; Alex, Bella, Chris, Dana</t>
  </si>
  <si>
    <t>10d2</t>
  </si>
  <si>
    <t xml:space="preserve"> Step 1: Key Clues - Alex is first in line, Dana is last in line, Bella is in front of Chris.
Step 2: Interpret - Alex is in the first position, Dana in the last, Bella between Chris and Alex.
Step 3: Combine clues - Since Alex is first, Chris should be next since there are only three people left after him (not including Dana), then comes Bella because she is in front of Chris, and finally Dana who is the last person in line.
FINAL_ANSWER: &lt;Order from first to last&gt; - Alex, Chris, Bella, Dana</t>
  </si>
  <si>
    <t>10d3</t>
  </si>
  <si>
    <t xml:space="preserve"> Step 1: Identify all key clues in the puzzle.
- Four people (Alex, Bella, Chris, and Dana)
- Alex is first in line
- Dana is last in line
- Bella is in front of Chris
Step 2: Interpret what each clue implies.
- Alex being first and Dana being last imply the ending points of the line.
- Bella being in front of Chris suggests that they are next to one another in the line with Bella being closer to Alex and Dana.
Step 3: Combine the clues to reach a conclusion.
- Given the information, we can deduce that Alex will be at the beginning followed by Bella, then Chris, and finally Dana.
FINAL_ANSWER: &lt;Answer&gt; Alex, Bella, Chris, Dana</t>
  </si>
  <si>
    <t>10v1</t>
  </si>
  <si>
    <t xml:space="preserve"> Analyzing the problem step by step:
1. We know that the order is "Alex is first, Dana is last, Bella is in front of Chris".
2. We start with 'Alex' who is first, so next comes 'Bella' since she is ahead of 'Chris'.
3. So the current order is 'Alex', 'Bella', 'Dana', 'Chris' which is the same as 'First', 'Second', 'Third', 'Fourth'.
4. We have reached the end, no changes are needed.
5. Our final answer is the ordered list: ['First', 'Second', 'Third', 'Fourth'].
FINAL_ANSWER: ['First', 'Second', 'Third', 'Fourth']</t>
  </si>
  <si>
    <t>10v2</t>
  </si>
  <si>
    <t xml:space="preserve"> First, arrange the people according to the given information.
1. Alex is first in line.
2. Bella is in front of Chris.
3. Dana is last in line.
Step by step arrangement:
1. (Alex)
2. (Bella) (Chris)
3. (Dana)
FINAL_ANSWER: &lt;Order&gt; Alex, Bella, Chris, Dana</t>
  </si>
  <si>
    <t>10v3</t>
  </si>
  <si>
    <t xml:space="preserve"> Analyzing the puzzle. The order should be the first person, then Bella, Chris, and finally Dana. Considering Alex is the first and Dana is the last, we're dealing with three people in between them. Bella is in front of Chris, so Bella goes after Alex and before Chris. Therefore, the order is Alex, Bella, Chris, and Dana.
FINAL_ANSWER: Alex, Bella, Chris, Dana</t>
  </si>
  <si>
    <t>10e1</t>
  </si>
  <si>
    <t xml:space="preserve"> Clues used:
1. Alex is first in line.
2. Dana is last in line.
3. Bella is in front of Chris.
Reasoning: Since Alex is first in line and Dana is last in line, Alex and Dana must be at the two ends. The other two people (Bella and Chris) should be in between these positions. We are given that Bella is in front of Chris. So, if we arrange them in a sequence, it would look like this: Alex, Bella, Chris, Dana. Therefore, FINAL_ANSWER: &lt;Answer&gt; Alex, Bella, Chris, Dana</t>
  </si>
  <si>
    <t>10e2</t>
  </si>
  <si>
    <t xml:space="preserve"> Clues provided: Alex is first in line, Dana is last in line, Bella is in front of Chris. There are four people: Alex, Bella, Chris, and Dana.
We can understand the positions of Alex, Bella, and Chris. Alex is first, Bella is in front of Chris and so she is before him. Now we have the following arrangement: Alex, Bella, Chris. It remains to find where Dana fits into this sequence. Since Dana is last in line, she must be behind all the mentioned people (except the person who is last). Therefore, Dana is after Chris but before Alex, so the final order from first to last is: Alex, Bella, Chris, Dana.
FINAL_ANSWER: Alex, Bella, Chris, Dana</t>
  </si>
  <si>
    <t>10e3</t>
  </si>
  <si>
    <t xml:space="preserve"> Clues:
1. Alex is first in line.
2. Dana is last in line.
3. Bella is in front of Chris.
4. Four people lining up to leave the room: Alex, Bella, Chris, and Dana.
Reasoning on the given clues only:
1. From clue 1 we know that Alex is first in line and from clue 4 we know all the people in the list, so Alex should be at the top.
2. Clue 2 informs us that Dana is last in line, so she should be at the bottom.
3. In clue 3, we learn that Bella is in front of Chris, implying Bella precedes Chris in line.
4. Combine this with the previous positions, we can determine the full order will be: Alex, Bella, Chris, and Dana.
FINAL_ANSWER: &lt;Answer&gt; Alex, Bella, Chris, Dana</t>
  </si>
  <si>
    <t>10g1</t>
  </si>
  <si>
    <t xml:space="preserve"> Order from first to last: Alex, Bella, Chris, Dana. End with: FINAL_ANSWER: Alex,Bella,Chris,Dana</t>
  </si>
  <si>
    <t>10g2</t>
  </si>
  <si>
    <t xml:space="preserve"> Clue list:
1. Four people lining up to leave the room: Alex, Bella, Chris, and Dana.
2. Alex is first in line.
3. Dana is last in line.
4. Bella is in front of Chris.
Interpretation of clues:
1. There are four people: Alex, Bella, Chris, and Dana, in the mentioned order.
2. Alex is positioned ahead of everyone else.
3. Dana is positioned at the end of the line or last.
4. Bella comes before Chris (in front of) in the sequence.
Using these clues, the order from first to last is: Alex, Bella, Chris, Dana. Combining the words, FINAL_ANSWER: &lt;Answer&gt; should be AlexBellaChrisDana.</t>
  </si>
  <si>
    <t>10g3</t>
  </si>
  <si>
    <t xml:space="preserve"> Clue 1: Four people lining up to leave the room: Alex, Bella, Chris, and Dana. This gives us the four individuals who are lining up and their respective names.
Clue 2: Alex is first in line. This tells us that Alex is at the beginning, or first position in the line.
Clue 3: Dana is last in line. This indicates that Dana is at the end, or last position in the line.
Clue 4: Bella is in front of Chris. This suggests that Bella is between Alex and Chris in the line and ahead of Chris.
Solution (using the given clues): Considering the relative positions in the line due to their placement mentioned in the clues, we can deduce the following order: Alex (first), Bella (between Alex and Chris), Chris (between Bella and Dana), and Dana (last). Combining all these positions, the final answer from first to last is: FINAL_ANSWER: &lt;Answer: Alex, Bella, Chris, Dana&gt;</t>
  </si>
  <si>
    <t>10s1</t>
  </si>
  <si>
    <t xml:space="preserve"> First, let's translate the given relationships into the structured format.
1. A is left of B becomes A&lt;B
2. A is first in line can be represented as A&lt;Anyone_else
3. Dana is last in line can be translated as Dana&lt;Everyone_else
4. Bella is in front of Chris can be represented as Bella&lt;Chris
Now, we will use the translated relationships to find the final order. We'll start from the given condition 'Alex is first in line'. Since 'Alex&lt;Anyone_else', it implies that Alex comes before any other person in the line.
Next, we have 'Dana is last in line' which means Dana will follow everyone else. So, Dana&lt;Everyone_else implies Dana comes after Alex, who was already placed first in the line.
Our next step is considering 'Bella is in front of Chris'. This relationship will place Bella between Alex and Chris. Bella&lt;Chris ensures that Bella is in a position after Alex but before Chris.
So far, we have the following arrangement: Alex&lt;Anyone_else, Dana&lt;Everyone_else, Bella&lt;Chris
Finally, we can combine these relationships to form a complete order from first to last:
FINAL_ANSWER: &lt;Order&gt; = &lt;Alex&gt;&lt;Bella&gt;&lt;Chris&gt;&lt;Dana&gt;</t>
  </si>
  <si>
    <t>10s2</t>
  </si>
  <si>
    <t xml:space="preserve"> To represent the given relationships in a structured way, we can create a dictionary where the keys are person names and values are their positions in a line. Firstly, let's assign the given information to it, and then sort the list by position to get the final answer.
Initial dictionary: {
    "Alex": 1,
    "Bella": 2,
    "Chris": 3,
    "Dana": 4
}
After sorting by position:
[
    "Alex",
    "Bella",
    "Chris",
    "Dana"
]
FINAL_ANSWER: &lt;Answer&gt; = the sorted list: [
    "Alex",
    "Bella",
    "Chris",
    "Dana"
]</t>
  </si>
  <si>
    <t>10s3</t>
  </si>
  <si>
    <t xml:space="preserve"> Let's identify the relationships first:
1. Alex being first in line can be represented as Alex&lt;Nobody (There's no one before him)
2. Dana being last in line can be represented as Nobody&lt;Dana (There's no one after her)
3. Bella being in front of Chris means that Bella is between Alex and Chris which can be written as Alex&lt;Bella&lt;Chris
4. Combining all relationships, we have: (Alex&lt;Nobody), (Nobody&lt;Dana), (Alex&lt;Bella&lt;Chris)
5. To find the final order, arrange the individuals according to their positions in the sequence: Alex, Bella, Chris, Dana
6. Thus, the final answer can be represented in the ordered format: FINAL_ANSWER: &lt;Alex, Bella, Chris, Dana&gt;</t>
  </si>
  <si>
    <t>11z1</t>
  </si>
  <si>
    <t>You have three keys: Small, Medium, and Large. You need to hang them on the hooks from left to right. The medium key is between the other two. The large key is on the left. What is the order from left to right?</t>
  </si>
  <si>
    <t xml:space="preserve"> The order from left to right is: Large, Medium, Small.</t>
  </si>
  <si>
    <t>11z2</t>
  </si>
  <si>
    <t xml:space="preserve"> The final answer from left to right is: Large, Medium, Small.</t>
  </si>
  <si>
    <t>11z3</t>
  </si>
  <si>
    <t xml:space="preserve"> The order from left to right is Small, Medium, and Large.</t>
  </si>
  <si>
    <t>11c1</t>
  </si>
  <si>
    <t xml:space="preserve"> To solve this puzzle, we can use logic and positioning of the keys relative to each other. We are given that the small key should be on the extreme right, the large key is on the left, and the medium key is in between the other two. 
Step 1: Identify the position of the large key as it's mentioned to be on the left. So, the position for the Large key is leftmost.
Step 2: Consider the relationship between the small and medium keys. The medium key is 'between' the two others, which could mean it's placed after the small key and before the large key.
Step 3: Arrange the keys accordingly - Left to Right: Large (leftmost), Medium, Small. 
Final Answer: The order from left to right is Large, Medium, and Small. This is because the large key is specified as leftmost, the medium key is between the other two, and the small key needs to be farthest to the right.</t>
  </si>
  <si>
    <t>11c2</t>
  </si>
  <si>
    <t xml:space="preserve"> In order to solve this puzzle, we can analyze each statement and use logical reasoning to deduce the order of the keys from left to right. We are given three keys (Small, Medium, and Large) with specific relationships. Let's go through these relationships one by one.
1. The medium key is between the other two keys. This means that either the Small or Large key should be placed on the left and the other should be on the right.
2. The large key is on the left. This means that it must be placed next to the far left hook since there is only one leftmost position.
Now, let's consider which key goes where based on these conditions. Since the small key is not specified to be between any other key, and the large key should be next to the far left hook, we can place the Small key to the right of the Large key. This leaves the Medium key to be placed on the rightmost hook, being in between the other two keys.
So, the final order from left to right is: Large, Small, Medium. Our reasoning was based on understanding the specific relationships provided in the puzzle and logically placing the keys according to their given positions.</t>
  </si>
  <si>
    <t>11c3</t>
  </si>
  <si>
    <t xml:space="preserve"> First, let's analyze the given information: We know there are three keys - Small, Medium, and Large. We are told that the Medium key is in the middle, between the other two. Lastly, it is mentioned that the Large key is on the left side. 
We can now deduce a possible arrangement by considering the relative positions of each key. Since the Medium key is in the middle, it must be between the Small and Large keys. This means that we only have to place the Small and Large keys on either side of the Medium key. The final layout should look like this: Small (left) - Medium - Large (right).
Now that we have deduced an arrangement, the final answer for hanging the keys from left to right is: Small, Medium, and Large. The reasoning comes from understanding the given constraints, which allowed us to identify the positions for each key. The Large key being on the left was also crucial to determine where the Small and Medium keys would fall in the sequence.</t>
  </si>
  <si>
    <t>11d1</t>
  </si>
  <si>
    <t xml:space="preserve"> Step 1: Key clues are: 
- Three keys: Small, Medium, and Large
- Hanging order from left to right
- Medium key between other two (implies it's neither left nor right)
- Large key is on the left
Step 2: Clue interpretations:
- Since it's mentioned that the order is from left to right, the Small key can't be on the left or it would already be in the position of the Large key
- The Medium key is between the other two but not on the ends, hence it's in a middle position
- The Large key being on the left rules out the possibility of it being any other position
Step 3: Combine the clues to reach a conclusion:
- We know the positions of Small and Large keys, so we only need to place the Medium key. Since it's not on the ends, it's likely to be next to either Small or Large key. However, placing it before the Large key would make it the first key, which contradicts the fact that it's the Medium one. So, the Medium key should be placed after the Small key. 
Final Answer: FINAL_ANSWER: Small, Medium, Large</t>
  </si>
  <si>
    <t>11d2</t>
  </si>
  <si>
    <t xml:space="preserve"> Step 1: Identify all key clues in the puzzle.
- Three keys: Small, Medium, and Large.
- Need to hang them on hooks from left to right.
- The medium key is between the other two.
- The large key is on the left.
Step 2: Interpret what each clue implies.
- "Three keys" implies there are only three specific keys, the rest are not relevant or can be ignored for now.
- "Hang them on hooks from left to right" suggests arranging the given keys from left to right on the hooks provided.
- "The medium key is between the other two" indicates that the position of the medium key is exactly between the other two (small and large), without leaving any gap.
- "The large key is on the left" implies the large key's position should be placed as far left as possible, which could mean it could be next to the wall.
Step 3: Combine the clues to reach a conclusion.
- We know the large key is the farthest left.
- We also know the medium key is between the small and the large.
- Therefore, the small key must be placed right after the large key but before the medium key.
Final Answer: FINAL_ANSWER: Small, Large, Medium</t>
  </si>
  <si>
    <t>11d3</t>
  </si>
  <si>
    <t xml:space="preserve"> Step 1: Key clues in the puzzle are as follows - Three keys: Small, Medium, and Large; Need to hang on hooks from left to right; The medium key is between the other two; The large key is on the left.
Step 2: Interpret the clues:
- The order of the keys is mentioned (Small, Medium, Large)
- We have to arrange them from left to right.
- The medium key is placed between the two other keys.
- The large key is on the extreme left.
Step 3: Combining the clues to reach a conclusion: Based on the given information, we can deduce that the small key should be on the far right as it's not mentioned to be between the other two keys. Since the large key is already known to be on the left side and the medium key is in between, placing the medium key to the right of the large key would leave the small key on the right side. Therefore, the order from left to right would be: large, medium, small.
FINAL_ANSWER: &lt;Answer&gt; Large, Medium, Small</t>
  </si>
  <si>
    <t>11v1</t>
  </si>
  <si>
    <t xml:space="preserve"> Firstly, we need to arrange the given keys in the mentioned order. According to the problem, the order is Small (left), Large (left) (which means Large must be at the most left side), then Middle, which implies Medium (on the left of it will be the Large key).
FINAL_ANSWER: Small, Large, Medium</t>
  </si>
  <si>
    <t>11v2</t>
  </si>
  <si>
    <t xml:space="preserve"> FINAL_ANSWER: Small, Medium, Large
Now let's check if this solution satisfies all clues.
1. We are given three keys - Small, Medium, and Large.
2. The medium key is mentioned to be in between the other two.
3. The large key is mentioned to be on the left.
Analyzing the given order:
1. Small is placed first on the left, which fits the condition that Small is one of the three keys.
2. Medium is next in the sequence, implying it's in between (to the right) the other two keys (Small and Large).
3. Lastly, Large is placed on the extreme left, again fitting the condition that it should be on the left side.
Since all the clues are satisfied by our current order, the provided solution should be correct. Final Answer: Small, Medium, Large</t>
  </si>
  <si>
    <t>11v3</t>
  </si>
  <si>
    <t xml:space="preserve"> Let's analyze the clues step by step:
1. The medium key is between the other two.
2. The large key is on the left.
We know that we have three keys - Small, Medium, and Large. Since the large key is on the left and the medium key is between the other two, it can only be placed between the Small and Large keys. 
The order of keys would be: Small (left), Medium (in between), Large (right). 
FINAL_ANSWER: Small, Medium, Large</t>
  </si>
  <si>
    <t>11e1</t>
  </si>
  <si>
    <t xml:space="preserve"> Clues used: Three keys (Small, Medium, and Large) mentioned. The medium key is between the other two. The large key is on the left. We need to arrange them from left to right.
Reasoning: The large key is already specified to be on the left side. So, we are left with two keys which are small and medium. Since the medium key is between the other two, it is between the small and the large key. Therefore, the order of the keys from left to right would be Large, Medium, Small.
FINAL_ANSWER: Large, Medium, Small</t>
  </si>
  <si>
    <t>11e2</t>
  </si>
  <si>
    <t xml:space="preserve"> Clues: 
1. Three keys: Small, Medium, and Large.
2. You need to hang them on hooks from left to right.
3. The medium key is between the other two.
4. The large key is on the left.
Reasoning based on these clues: Since the medium key is between the other two, it is not the smallest (Small) or the largest (Large). We can eliminate it for arrangement in left to right order. So, we are left with only two keys - Small and Large. With the information that the large key is on the left, we can infer that the small one will be on the far right. Therefore, the order from left to right would be 'Large, Small'. FINAL_ANSWER: &lt;Large, Small&gt;</t>
  </si>
  <si>
    <t>11e3</t>
  </si>
  <si>
    <t xml:space="preserve"> Clue 1: You have three keys: Small, Medium, and Large.
Clue 2: You need to hang them on the hooks from left to right.
Clue 3: The medium key is between the other two.
Clue 4: The large key is on the left.
Reasoning: Since we know the position of the large key (left) and that the medium key is between the small and large keys, we can infer that the small key is to the far right. With the large key to the left, the medium key must be in the middle. So, putting everything together, the order from left to right will be Large, Medium, and Small. FINAL_ANSWER: &lt;Large, Medium, Small&gt;</t>
  </si>
  <si>
    <t>11g1</t>
  </si>
  <si>
    <t xml:space="preserve"> Clues:
1. You have three keys: Small, Medium, and Large.
2. You need to hang them on the hooks from left to right.
3. The medium key is between the other two.
4. The large key is on the left.
Interpretation:
The goal is to arrange the given three keys (Small, Medium, and Large) in the correct order from left to right while they are hung on hooks. We can use the given information about the position of the Medium key and the Large key to make it clearer where each key should go.
Solution:
From the given clues, we know the Large key is on the left. Since the order must be from left to right, this means the Small key will be on the far right. The Medium key is between the other two, meaning it needs to be placed between the Small and the Large key. Therefore, the order from left to right would be Large, Medium, and then Small.
FINAL_ANSWER: &lt;Answer&gt; = Largemediumsmall</t>
  </si>
  <si>
    <t>11g2</t>
  </si>
  <si>
    <t xml:space="preserve"> Clue 1: You have three keys: Small, Medium, and Large.
Interpretation 1: There are three different keys with distinct sizes or names (Small, Medium, Large)
Clue 2: You need to hang them on the hooks from left to right.
Interpretation 2: The goal is to arrange the keys in the correct order from left to right on some hooks or in a specific sequence.
Clue 3: The medium key is between the other two.
Interpretation 3: The medium key is located such that it is in the middle with the small key on one side and the large key on the other side.
Clue 4: The large key is on the left.
Interpretation 4: The large key should be positioned furthest to the left among the three keys mentioned.
Now, let's determine the order using the interpretations above:
- The small key is not mentioned to have any specific position so we can safely assume it could be positioned anywhere after the medium key.
- The large key is already placed on the left according to clue 4.
- The medium key has to be between the other two, with the small key on one side and the large key on the other side as per clue 3.
From these interpretations, we can conclude that the order of hanging the keys from left to right would be: Large, Small (next to the Medium key), and finally Medium.
FINAL_ANSWER: &lt;Answer&gt; Large, Small, Medium</t>
  </si>
  <si>
    <t>11g3</t>
  </si>
  <si>
    <t xml:space="preserve"> Clue 1: You have three keys: Small, Medium, and Large.
Clue 2: You need to hang them on the hooks from left to right.
Clue 3: The medium key is between the other two.
Clue 4: The large key is on the left.
Solution: Interpreting these clues, we know the position of the medium key is in-between the small and large keys since it is "between the other two". The large key is to be on the left side, so we can place the small key to the far right for it to be the third one. Therefore, the order from left to right is: Large, Medium, Small.
FINAL_ANSWER: Large, Medium, Small</t>
  </si>
  <si>
    <t>11s1</t>
  </si>
  <si>
    <t xml:space="preserve"> Firstly, let's define some variable names to simplify the problem:
- A = Small key
- B = Medium key
- C = Large key
- D1 = Hook 1
- D2 = Hook 2
- D3 = Hook 3
Now, let's translate the given relationships into structured relationships:
1. The large key (C) is on the left - Large key location (C) is before other keys in the order
2. The medium key (B) is between the other two - Medium key is between the small (A) and large (C) keys in the order
3. We need to hang them from left to right - The final order should be from left to right
Now that we have the relationships translated, we can write out the final order from left to right as per the rules:
FINAL_ANSWER: &lt;C, A, B&gt;
The order from left to right for hanging these keys will be: large, small, and medium.</t>
  </si>
  <si>
    <t>11s2</t>
  </si>
  <si>
    <t xml:space="preserve"> Relationships:
- Medium key is between the other two (Medium &gt; Small, Medium &gt; Large)
- Large key is on the left (Large &gt; Small, Large &gt; Medium)
Solving the puzzle:
1. Since the Large key is on the left, we can place it first. So, the order is [Large].
2. The Medium key is between the other two keys. From our relationships, we know that Medium comes after both Small and Large. So, the updated order is [Large, Medium].
3. We only have the Small key left. As there are no specific relationships for Small, we can just place it at the end of the order. The final order from left to right is [Large, Medium, Small].
FINAL_ANSWER: [Large, Medium, Small]</t>
  </si>
  <si>
    <t>11s3</t>
  </si>
  <si>
    <t xml:space="preserve"> First let's identify the relationships in the given puzzle:
1. Medium key is between the Small and Large keys.
2. The Large key is on the left.
3. We need to arrange them in a left-to-right order.
Now let's translate these relationships into structured relationships:
1. M&lt;S,L (The position of Medium key relative to Small and Large keys)
2. L&lt;(M,S) (The position of Large key relative to the other two)
3. Order from left to right should follow the arrangement.
Next, we will use the given relationships to solve the puzzle. We want to find the final order of the keys from left to right. Let's start by following the first relationship that tells us the medium key is between the other two, so we can arrange the small, medium, and large as follows: S&lt;M&lt;L
Now we have followed the second relationship which states that the large key is on the left. This means we should move the small key further right, making it next to the medium key. So our new arrangement is: L&lt;M,S
Finally, we need to make sure we maintain the order from left to right, so the complete arrangement is: L,M,S
FINAL_ANSWER: L,M,S</t>
  </si>
  <si>
    <t>12z1</t>
  </si>
  <si>
    <t>There is a wall shelf with 3 levels: top, middle, and bottom. A note says: "The key is directly below the plant and the book." Looking at the shelf, you see: A plant on the top level, A book on the middle level. On which shelf level is the key?</t>
  </si>
  <si>
    <t xml:space="preserve"> The key is on the bottom level as it is directly below both the plant on the top level and the book on the middle level.</t>
  </si>
  <si>
    <t>12z2</t>
  </si>
  <si>
    <t xml:space="preserve"> The key is on the bottom level since it is described as being directly below the plant and book.</t>
  </si>
  <si>
    <t>12z3</t>
  </si>
  <si>
    <t xml:space="preserve"> The final answer is that the key is on the bottom level since it is said to be directly below the plant and the book, both of which are positioned one level higher than the bottom level.</t>
  </si>
  <si>
    <t>12c1</t>
  </si>
  <si>
    <t xml:space="preserve"> To find the location of the key, we need to analyze the given information step by step. We know the following:
1. The key is "directly below" the plant and the book.
2. The plant is on the top level, while the book is on the middle level.
3. Since both the plant and the book are in separate levels, their locations cannot influence each other's position relative to the key.
4. As mentioned earlier, the key's position is directly below these two items.
Given these observations, the key must be in the level between the top level (where the plant is) and the middle level (where the book is). However, the lowest level is missing, so the shelf does not have an equal number of levels for all three items. Based on the provided conditions, the closest place for the key would still be on the same level as the book, which is the middle level. Therefore, the key might be on the middle level. The final answer is uncertain due to the unavailability of a bottom level, but it is most likely that the key is on the middle level.</t>
  </si>
  <si>
    <t>12c2</t>
  </si>
  <si>
    <t xml:space="preserve"> To solve this puzzle, we should analyze the information given step by step, trying to deduce where the key might be based on the note and the arrangement of objects on the wall shelf.
1. The note specifies that the key is "directly below" something. We know it's below the plant and the book mentioned in the sentence. These are both items on the shelf.
2. Since the key is 'directly below' the mentioned items, we have to find their respective positions on the shelf. According to the description provided, the shelf has three levels - top, middle, and bottom.
3. The plant is placed on the top level, and the book is on the middle level. The key needs to be on the same level as the object it's 'below', so the level one step lower. In this case, the book is on the middle level and the key must be one level beneath it, which would be the bottom level (since there is no level below the middle).
4. From our analysis, we can conclude that the key is likely located on the bottom shelf level of the wall shelf.
Final answer: The key is on the bottom shelf level.</t>
  </si>
  <si>
    <t>12c3</t>
  </si>
  <si>
    <t xml:space="preserve"> In order to find out where the key is located, we need to understand the relation between the positions mentioned in the note and the items on the shelf.
1. Analyze the given information: The key is directly below the plant and the book. We know the positions of both the plant and the book on the wall shelf. 
2. Identify the locations of the mentioned items: The plant is on the top level, while the book is on the middle level.
3. Apply the given rule: Since the key is directly below the plant and the book, we can infer that it's positioned under one or both of these items. In this case, since the key should be "below" (i.e., on a lower level), it could only be either on the middle or bottom level.
4. Assess the remaining possibilities: If the key were placed on the middle level, it would be directly below the book but not the plant. This contradicts the note stating that the key is directly below both items. Therefore, the key cannot be on the middle level.
5. Conclusion: As there are no other options left, we can deduce that the key is most likely located on the bottom level of the shelf.
6. Final Answer: The key might be on the bottom level, though without further information, it cannot be confirmed for certain.</t>
  </si>
  <si>
    <t>12d1</t>
  </si>
  <si>
    <t xml:space="preserve"> Step 1: Key clues are - wall shelf with 3 levels (top, middle, and bottom), note about the key location, plant on top level, book on middle level.
Step 2: The note's clue tells us that the key should be under the items mentioned. This implies the plant and the book have different heights from the shelf's surface.
Step 3: The shelf has three levels, and we know where the plant and the book are positioned. Since the book is on the middle level and the note specifies the key to be "directly below" the plant, it means the plant is higher than the key. If the plant is on the top level, the level below it would be the middle level, where the book is. Therefore, the key should be on the bottom level. 
FINAL_ANSWER: &lt;Answer&gt; Bottom level</t>
  </si>
  <si>
    <t>12d2</t>
  </si>
  <si>
    <t xml:space="preserve"> Step 1: Key clues - Wall shelf with 3 levels (top, middle, bottom), a note with a statement, a plant on the top level, a book on the middle level, the key being directly below the plant and the book.
Step 2: Interpretation of clues - Since the key is mentioned to be directly under both the plant and the book, it might be under the shelf level where either the plant or the book is present.
Step 3: Combining the clues - The note states that the key is directly below the plant and the book. The book is on the middle level while the plant is on the top level. Since the key needs to be on the same shelf level as one of these items, the closest possible location would be on the same level as the book, given that the plant is on a separate level above.
FINAL_ANSWER: The key is on the middle level.</t>
  </si>
  <si>
    <t>12d3</t>
  </si>
  <si>
    <t xml:space="preserve"> Step 1: Key clues in the puzzle: wall shelf with 3 levels (top, middle, and bottom), a note, key location, plant, book.
Step 2: Interpreting the clues: The note states that the key is located in a specific area below the mentioned items. According to the given details, the shelf has a plant on the top level and a book on the middle level.
Step 3: Combining the clues: Since the note specifies that the key is directly below the plant and the book, it should be found below the second-highest point of the shelf. This implies the key is on the bottom level.
FINAL_ANSWER: The key is on the bottom level of the wall shelf.</t>
  </si>
  <si>
    <t>12v1</t>
  </si>
  <si>
    <t xml:space="preserve"> First, let's analyze the given information step by step. We have:
1. A wall shelf with 3 levels: top, middle, and bottom.
2. The key is directly below the plant and the book.
3. A plant on the top level.
4. A book on the middle level.
Now we need to deduce where the key might be. Since the key is 'directly below' the plant and the book, it cannot be on any of the two shelves that contain them (top or middle). This leaves only one possible option, which is the 'bottom' level.
So, our final answer would be: FINAL_ANSWER: Bottom level (where the key is assumed to be)</t>
  </si>
  <si>
    <t>12v2</t>
  </si>
  <si>
    <t xml:space="preserve"> FINAL_ANSWER: The key is on the bottom level. This reasoning seems incorrect since the clue states the key is directly below both the plant and the book. As the plant is on the top level, the book is on the middle level, the key should be between these two levels, but not on either of them. Hence, we need to adjust our reasoning to assume that there are empty spaces for the plant and book on their respective levels while the key is between them. FINAL_ANSWER: Key is in the empty space between the plant (top) and book (middle) levels.</t>
  </si>
  <si>
    <t>12v3</t>
  </si>
  <si>
    <t xml:space="preserve"> Final answer: FINAL_ANSWER: Key is on bottom level
Reasoning: The note says the key is directly below the plant and the book. The plant is on the top level and the book on the middle level. The key being directly below means it must be one level below these objects. Since there are three levels in total, it cannot be the top or middle level. Therefore, it must be on the bottom level. This reasoning satisfies all clues given in the puzzle.</t>
  </si>
  <si>
    <t>12e1</t>
  </si>
  <si>
    <t xml:space="preserve"> Clue 1: Wall shelf with 3 levels - Top, Middle, and Bottom
Clue 2: A note says "The key is directly below the plant and the book"
Clue 3: Plant on the top level
Clue 4: Book on the middle level
Reasoning: Since the plant is on the top level and the book is on the middle level, we can infer that the key would be somewhere between these two items as it's "directly below" both of them. The only remaining level is the bottom one. Therefore, FINAL_ANSWER: The key is on the bottom level.</t>
  </si>
  <si>
    <t>12e2</t>
  </si>
  <si>
    <t xml:space="preserve"> Clues used: Wall shelf with 3 levels (top, middle, and bottom), Note mentions key is directly below plant and book, Plant on the top level, Book on the middle level.
Reasoning: The note explicitly states that the key is directly below the plant and book. We know that the plant is on the top level and the book is on the middle level. Since 'below' in this context implies the lower level or shelf, the key would be on the level just below the book on the middle level. Therefore, the key is on the BOTTOM level. FINAL_ANSWER: BOTTOM level</t>
  </si>
  <si>
    <t>12e3</t>
  </si>
  <si>
    <t xml:space="preserve"> Clue 1: Wall shelf with 3 levels (top, middle, and bottom)
Clue 2: The key is directly below the plant and the book
Clue 3: Plant on the top level
Clue 4: Book on the middle level
Reasoning: Since the key is supposed to be directly below the plant and the book, and the plant is on the top level and the book is on the middle level, we need to find the level right under the middle one, which is in between the middle and bottom levels. Therefore, FINAL_ANSWER: key is on the BOTTOM level.</t>
  </si>
  <si>
    <t>12g1</t>
  </si>
  <si>
    <t xml:space="preserve"> Clue 1: There is a wall shelf with 3 levels: top, middle, and bottom.
Clue 2: A note says: "The key is directly below the plant and the book."
Clue 3: Looking at the shelf, you see: A plant on the top level, A book on the middle level.
Interpretation: The key is on the same level as the plant and the book mentioned in the note while they are not placed next to it but somewhere below them.
Solution using the above understanding: Since the book is on the middle level and the plant is on the top level (above the book), the key should be below both of these items. The key can't be on the top level as it would not be directly below the plant and book. The key can't be on the bottom level as it would not be connected to the plant and book. This means the key must be on the middle level where the book is located. FINAL_ANSWER: Middle_level</t>
  </si>
  <si>
    <t>12g2</t>
  </si>
  <si>
    <t xml:space="preserve"> 
1. Clue: There is a wall shelf with 3 levels: top, middle, and bottom.
   Interpretation: The shelf has three different levels with specific names.
2. Clue: A note says: "The key is directly below the plant and the book."
   Interpretation: This statement identifies the relative positions of the key, plant, and book on the shelf. It suggests that the key should be placed under the plant and book, but where they are located in the given scenario.
3. Clue: Looking at the shelf, you see: A plant on the top level, A book on the middle level.
   Interpretation: The physical arrangement of the items (plant and book) on the shelf is already known. We need to determine where to place the key based on the previous clue about its position.
4. Solving the puzzle: Since the plant is on the top level and the book is on the middle level, we can infer that the key's position would match the bottom level being directly underneath the plant and the book. In terms of the shelf levels, this is the third shelf level from the bottom.
FINAL_ANSWER: Bottom</t>
  </si>
  <si>
    <t>12g3</t>
  </si>
  <si>
    <t xml:space="preserve"> Clues:
1. Wall shelf has 3 levels: top, middle, and bottom.
2. Note says "The key is directly below the plant and the book".
3. Plant is on the top level.
4. Book is on the middle level.
Solving: The key should be "directly below" the plant and the book according to the note. Since the plant is on the top level and the book is on the middle level, the key must be below one of them but not on their levels. The only level left for the key would then be the "bottom" level.
FINAL_ANSWER: Bottom</t>
  </si>
  <si>
    <t>12s1</t>
  </si>
  <si>
    <t xml:space="preserve"> Firstly, let's create relationships to connect all the mentioned elements.
1. The position of objects - The shelf has 3 levels (top, middle, and bottom), a plant on top level, a book on the middle level.
2. The note - A note exists and mentions key information about the key location - it is directly below the plant and the book.
3. Object relative positions - The key should be under the plant and the book. However, the book is already placed on the middle level, so 'under the book' would refer to a lower level. The plant is on the top level, but we can still consider it 'under' the book since the book is in between the two levels (the plant and the key).
Considering these relationships, we can now use the structured format to deduce the solution. Let's start with the given information about the shelves' arrangement:
SHELF_LEVELS = ['top', 'middle', 'bottom']
PLANT_LEVEL = SHELF_LEVELS[0]
BOOK_LEVEL = SHELF_LEVELS[1]
KEY_RELATIVE_POSITION = 'under the book'
Now, let's find out where the key would be in relation to the books' position. Since 'key is directly below the plant and the book', we need to transform this into a relationship using our relative position - "under the book". We can infer that the key is one level down from 'under the book' because it's mentioned as being 'directly below'.
KEY_LEVEL = BOOK_LEVEL[1] + 1
Finally, using the structured relationships, we can determine the final answer:
FINAL_ANSWER: &lt;Answer&gt; = KEY_LEVEL</t>
  </si>
  <si>
    <t>12s2</t>
  </si>
  <si>
    <t xml:space="preserve"> In order to analyze the relationships between the components given in the puzzle, we can identify them first and then establish their connections. Here are the identified components:
1. Wall shelf with 3 levels (top, middle, and bottom)
2. Key is directly below the plant
3. Plant on the top level
4. Book on the middle level
Now let's create the relationships using the &lt;&gt; notation:
1. Wall shelf has 3 levels (top, middle, and bottom)
   - top &lt;middle&lt;bottom
2. Key is directly below the plant
   - key&lt;plant
3. Plant on the top level
   - plant&lt;top
4. Book on the middle level
   - book&lt;middle
Finally, we use these relationships to deduce the answer to the question about the position of the key. Since the key is directly below the plant and the plant is on the top level, the key should also be above the bottom level, as it is directly below the level where the plant is. The solution will be: FINAL_ANSWER: &lt;bottom&gt;</t>
  </si>
  <si>
    <t>12s3</t>
  </si>
  <si>
    <t xml:space="preserve"> First, identify the given relationships and entities in the text:
1. Wall shelf with 3 levels: top, middle, and bottom (entities - shelf, top level, middle level, bottom level)
2. The note: "The key is directly below the plant and the book" (relationships - key below plant, key below book)
3. A plant on the top level, A book on the middle level (entities - plant, book, top level, middle level)
Now, translate the relationships into structured relationships using the notation.
1. top level &lt; shelf
2. middle level &lt; shelf
3. bottom level &lt; shelf
4. &lt;plant&gt; &lt;top level&gt;
5. &lt;book&gt; &lt;middle level&gt;
6. &lt;key&gt; &lt;(directly below) plant&gt; (we can infer it's on the same level as the plant)
7. &lt;key&gt; &lt;(directly below) book&gt; (we can infer it's on the same level as the book)
Given these relationships, let's determine the level of the key:
- The book is on the middle level, so the key should be on the level that's below the book.
- The key is on the same level as the plant, which is on the top level.
So, the final answer is: FINAL_ANSWER: &lt;answer&gt; - The key is on the top level.</t>
  </si>
  <si>
    <t>13z1</t>
  </si>
  <si>
    <t>There is a square table in the center of the room with one chair on each side: north, east, south, and west. Alice is sitting on west side, facing east. Bob is sitting on the east side, facing west. The exit door is in front of Bob. Which of the wall contains the exit door?</t>
  </si>
  <si>
    <t xml:space="preserve"> The final answer is that the wall containing the exit door is the one to the right or south of the east side where Bob is sitting.</t>
  </si>
  <si>
    <t>13z2</t>
  </si>
  <si>
    <t xml:space="preserve"> The final answer is the east wall contains the exit door.</t>
  </si>
  <si>
    <t>13z3</t>
  </si>
  <si>
    <t xml:space="preserve"> The wall containing the exit door is the one in front of Bob, which is the wall that faces the east side.</t>
  </si>
  <si>
    <t>13c1</t>
  </si>
  <si>
    <t xml:space="preserve"> Let's break down the problem into smaller parts to understand the relationships between people and their positions.
1. We have a square table with four chairs on each of the four cardinal directions (north, east, south, and west).
2. Alice is sitting at the west side, facing east.
3. Bob is sitting at the east side, facing west.
4. The exit door is in front of Bob.
From point 4, we know that the exit door lies along the line between Bob's position and the direction he is facing. In this case, he is facing west, which means the exit door is in front of him. Since the only side that lies ahead of Bob while he faces west is the 'front', it implies the wall he is facing is also the wall containing the exit door. So, the wall with the exit door is the wall that has the East side of the table.
Final answer: The wall with the exit door is the one having the East side of the table, as Bob is facing west from the East side.</t>
  </si>
  <si>
    <t>13c2</t>
  </si>
  <si>
    <t xml:space="preserve"> To find out which wall contains the exit door, let's analyze the situation step-by-step:
1. We know that there is a square table with chairs around it. We also know their positions (chair and people) based on given details.
2. The center of the room is the starting point for directions. When someone says they are sitting at the 'north', 'east', 'south', or 'west' side, it means they are sitting in a direction relative to the center, i.e., towards North, East, South, or West of the center respectively. This could be clockwise or anti-clockwise depending on the context.
3. We are given some information about the positions of Alice and Bob. Alice is sitting on the west side of the table, facing east. In other words, she is looking towards the center of the room, with her back facing the west side. Bob is sitting on the east side of the table, facing west. So, he can see the west side of the room and his back is facing the east side. 
4. The exit door is mentioned to be in front of Bob. Since Bob is facing the west side and his back is towards the east side, being 'in front' implies that the exit door would be in between him and the east side of the room.
5. There is no mention of walls specifically, but we can deduce from the scenario that the exit door would be a part of a wall. Walls usually enclose the four sides of a room, so we can consider every side to be potentially containing an exit door except the side where the entrance is.
6. The entrance is mentioned as the 'front' of the exit door which is in front of Bob who is facing west. Therefore, the exit door should be situated between the west side (where Bob is) and the east side (which is the opposite side of the center).
7. We know that there are no chairs on the north or south side of the table (assuming these sides are empty). Hence, without considering the north and south sides, the remaining sides are either the east or the west side. 
8. Based on the given positioning and directions, we understand that if the exit door is in between the west and east side, it would have to be on the wall in question.
</t>
  </si>
  <si>
    <t>13c3</t>
  </si>
  <si>
    <t xml:space="preserve"> To determine which wall contains the exit door, we have to analyze the given information step by step. We know there's a square table in the center with chairs arranged around it. Alice is at the west side, facing east, while Bob is at the east side, facing west. We also know that the exit door is in front of Bob.
Step 1: Identify the location where the exit door is relative to Bob. Since the exit door is 'in front of Bob,' it means it's on the same line as his body but pointing towards the direction he faces. As Bob faces west, the exit door points westward. This also implies the direction 'west' is not the wall containing the exit door.
Step 2: Analyze the other walls and their positions relative to Bob. Alice, who is sitting on the west side, is facing east. If we consider the opposite side for her position (since she faces east), that would be the south side. So, the south side of the room aligns with the direction Alice is facing.
Step 3: Identify the wall that has an empty chair next to the exit door. Remember, the table has a chair on each side - north, east, south, and west. In this case, the east side has two chairs occupied: one by Bob and the other by Alice. Therefore, the north side or the northern wall must have an empty chair next to the exit door.
Step 4: Conclude which wall contains the exit door. Since the exit door was mentioned as being in front of Bob and aligned with the direction he faced, it's on the wall that aligns with the southern direction (as that's the opposite side from where Bob faces). Thus, the exit door is in the northern wall, and the reasoning is based on identifying the relative positions of people and chairs, along with understanding the direction the exit door points to due to its location in relation to Bob.</t>
  </si>
  <si>
    <t>13d1</t>
  </si>
  <si>
    <t xml:space="preserve"> Step 1: Key clues - Square table, center of the room, one chair on each side (north, east, south, west), Alice sitting on west facing east, Bob sitting on east facing west, exit door in front of Bob.
Step 2: Interpret the clues - The table has four sides marked by chairs, with Alice at one end and Bob at the other end. Both are facing each other. The exit door is placed so that it is in front of the person sitting on east, which means right in front of Bob's position.
Step 3: Combine the clues - There are two people, Alice and Bob, and they are both situated at different ends of the table. The exit door is at a particular location based on who is sitting on the east side, and that person is Bob. Therefore, the wall containing the exit door must be the one opposite to the east side, which means the wall opposite to Bob.
FINAL_ANSWER: The wall containing the exit door is the &lt;wall opposite to Bob&gt;.</t>
  </si>
  <si>
    <t>13d2</t>
  </si>
  <si>
    <t xml:space="preserve"> Step 1: Key clues in the puzzle:
- Square table
- In the center of the room
- One chair on each side (north, east, south, and west)
- Alice sitting on west side, facing east
- Bob sitting on east side, facing west
- Exit door in front of Bob
Step 2: Interpret clues:
- The square table signifies that it has four equal sides.
- The presence of a table and chairs imply a structured environment, likely a room.
- Chairs are placed on every side of the table.
- Alice's location and orientation indicate her position relative to the other elements in the scene.
- Bob's location and orientation provide information about his relationship to Alice and the exit door.
- The mention of an "exit door" implies a need for access out of the room or area.
- The statement "The exit door is in front of Bob" suggests that the door is located where Bob would face if he were looking straight ahead.
Step 3: Combine clues to reach a conclusion:
With our interpretations, we can deduce that since the table is in the center and chairs on all sides have people seated, the remaining space around the table must be used for walls. Additionally, we know that the exit door is located in front of Bob, making it clear it should be situated at the wall where he faces when looking straight ahead. This means that the exit door is part of the same wall as the side where Alice is sitting (the west side).
FINAL_ANSWER: &lt;Answer&gt; The exit door is in the wall containing the west side where Alice is sitting.</t>
  </si>
  <si>
    <t>13d3</t>
  </si>
  <si>
    <t xml:space="preserve"> Step 1: Key clues are - square table, center, room, four sides (north, east, south, west), Alice facing east, Bob facing west, exit door, in front of Bob, and Bob's side is east. Step 2: Interpreting each clue: Table is in the center; there's an exit door in front of Bob. Bob faces west and is in the east position; Alice is at west side and faces east. Step 3: Combining clues - If the exit door is in front of Bob, and the door is in the east direction, it implies the opposite side or the other wall must have the exit door. This wall is the one with the west position since that is where Alice is sitting. So, the wall containing the exit door is opposite to the west wall. FINAL_ANSWER: &lt;Answer&gt; Wall opposite to the west wall.</t>
  </si>
  <si>
    <t>13v1</t>
  </si>
  <si>
    <t xml:space="preserve"> First let's analyze the positions given and figure out the relative directions.
1. North side is opposite to the west side where Alice is sitting. So, north is left for Alice and right for Bob.
2. East side is opposite to the west side where Bob is sitting. So, east is left for Bob and right for Alice.
3. South side is opposite to the east side where Bob is sitting. So, south is left for Bob and right for Alice.
Now we know these relationships among the sides.
Alice is sitting at west and facing east which means she has her back towards the west side and looking towards the east side. So, her left is south and right is north.
Bob is sitting at east and facing west which means he has his back towards the east side and looking towards the west side. So, his left is south and right is north.
The exit door is said to be in front of Bob, which implies that Bob sees the door if he looks straight ahead. Considering the given information about Bob's position and the direction he is facing, it would mean that the front for Bob should face the same direction as when he is facing left or right. Since he is facing west and left is south, then the front direction for him should be 'south'.
Given the relative direction and Bob's position, the wall with the exit door would be the 'south' wall as it is directly in front of Bob. FINAL_ANSWER: &lt;Answer&gt; South</t>
  </si>
  <si>
    <t>13v2</t>
  </si>
  <si>
    <t xml:space="preserve"> FINAL_ANSWER: East_Wall
In this case, we have to find out which wall contains the exit door. Since we know that Bob is sitting at the east side, facing west, and the exit door is in front of him. This implies that the exit door is on the same side as where he is sitting (east). So, the wall opposite to the east side is the one containing the exit door. Hence, the answer should be West_Wall. However, since the problem mentioned "The exit door is in front of Bob," it contradicts the initial statement about the exit door being in front of Bob while he's on the east side. Given the context provided, the exit door being in front of him means the exit door is on the same side as his position, making it the east wall. Therefore, FINAL_ANSWER: East_Wall is the correct answer.</t>
  </si>
  <si>
    <t>13v3</t>
  </si>
  <si>
    <t xml:space="preserve"> First, let's identify what walls are adjacent to the exit door. Since the exit door is in front of Bob who is on the east side, it must be between him and the wall he is not facing. It can't be behind either, because that would mean the exit door would be inside the room, which contradicts the fact that the exit door leads outside.
Now, we need to find out which direction Bob is not facing. He is facing west (opposite direction of Alice). So the other directions he isn't facing are either north or south. However, he is also on the east side, which means his side is not north or south.
Hence, the only direction where the exit door can be is facing the wall that is at the right angle to the wall that has the exit door. This can only be either the north or south wall, since these are the two perpendicular walls to the east wall.
FINAL_ANSWER: The exit door's wall can be either north or south wall.</t>
  </si>
  <si>
    <t>13e1</t>
  </si>
  <si>
    <t xml:space="preserve"> Clue 1: There is a square table in the center of the room with one chair on each side: north, east, south, and west.
Clue 2: Alice is sitting on the west side, facing east.
Clue 3: Bob is sitting on the east side, facing west.
Clue 4: The exit door is in front of Bob.
Reasoning: Considering the arrangement of chairs around the table and the relative positions of the characters, we can gather some information about their positions in relation to the table. Alice is at the western side, Bob at the eastern side, and both are facing away from each other. The exit door is positioned in front of Bob, which means it's on the east side of the room, since that's the side where Bob is seated.
FINAL_ANSWER: East wall contains the exit door.</t>
  </si>
  <si>
    <t>13e2</t>
  </si>
  <si>
    <t xml:space="preserve"> Clues: Table is a square table in the center of the room. One chair on each side (north, east, south, and west). Alice is sitting on the west side, facing east. Bob is sitting on the east side, facing west. Exit door is in front of Bob.
We need to find which wall the exit door is in. We only know the position of the door relative to Bob. Bob's position is on the east side facing west. Therefore, his 'front' or where the door would be in front of him is in the direction he is facing which is west.
FINAL_ANSWER: The wall containing the exit door is the west wall.</t>
  </si>
  <si>
    <t>13e3</t>
  </si>
  <si>
    <t xml:space="preserve"> Clue 1: There is a square table in the center of the room with one chair on each side: north, east, south, and west.
Clue 2: Alice is sitting on west side, facing east.
Clue 3: Bob is sitting on the east side, facing west.
Clue 4: The exit door is in front of Bob.
Let's analyze the situation step by step:
1. We know that the chairs are arranged North, East, South, and West.
2. Alice sits on the West side facing East, while Bob sits on the East side facing West.
3. The exit door location depends on where Bob is sitting, which is East side facing West.
4. Since the exit door is in front of Bob, it means if we face the same direction Bob is facing (West), the exit door will be to our right.
FINAL_ANSWER: The wall containing the exit door is the West wall.</t>
  </si>
  <si>
    <t>13g1</t>
  </si>
  <si>
    <t xml:space="preserve"> First, we have the given puzzle details:
1. Square table in the center of the room with one chair on each side (north, east, south, and west)
2. Alice is sitting on west side, facing east
3. Bob is sitting on the east side, facing west
4. The exit door is in front of Bob
5. There's a relative direction for Bob's position with respect to the exit door (which must be determined)
Now, we need to interpret the clues:
1. We know the positions of chairs and their respective sides/directions.
2. The exit door has a location in relation to Bob.
3. To determine which wall the exit door is on, we need to identify the wall where the door would be situated based on its relationship with Bob's position.
To solve the puzzle:
Considering that the exit door is in front of Bob, we can infer that the direction 'in front' aligns with the position where Bob is facing while seated on the chair, i.e., west.
Now, let's deduce which wall contains the exit door by following this process:
1. Identify Bob's position with reference to the directions (north, east, south, and west).
2. Determine the wall opposite to the wall where Bob is sitting.
3. The wall opposite to the 'east' wall where Bob is seated will have the exit door.
FINAL ANSWER: West_Wall</t>
  </si>
  <si>
    <t>13g2</t>
  </si>
  <si>
    <t xml:space="preserve"> Clue 1: There is a square table in the center of the room with one chair on each side: north, east, south, and west.
Clue 2: Alice is sitting on west side, facing east.
Clue 3: Bob is sitting on the east side, facing west.
Clue 4: The exit door is in front of Bob.
Interpretation of clues:
- The table's position doesn't matter.
- Chairs are placed at the sides (North, East, South, West).
- Alice sits at the West chair, facing East.
- Bob sits at the East chair, facing West.
- The exit door's position is relevant to Bob's sitting position.
Solution: Since the exit door is in front of Bob, we can infer that it is located in the direction he is facing, which is West. Therefore, FINAL_ANSWER: Wall containing the exit door is the West wall.</t>
  </si>
  <si>
    <t>13g3</t>
  </si>
  <si>
    <t xml:space="preserve"> Clue 1 - There is a square table in the center of the room with one chair on each side: north, east, south, and west.
- This sets up the arrangement of chairs around the table.
Clue 2 - Alice is sitting on west side, facing east.
- This tells us that Alice is on the west side of the table but faces towards the east.
Clue 3 - Bob is sitting on the east side, facing west.
- This tells us that Bob is on the east side of the table, opposite Alice, and he faces towards the west.
Clue 4 - The exit door is in front of Bob.
- This establishes a relation between the position of the exit door and where Bob is seated.
To find the answer to which wall contains the exit door, let's first determine which side of the room the exit door is on. Since the exit door is in front of Bob who is on the east side, the exit door should be on the same side as the east side. Then we can infer that this side is one of the walls. Since the entrance is not mentioned to be on any of the other sides, it makes sense for the wall containing the exit door to be the same as the side where the east chair is situated.
FINAL_ANSWER: &lt;Answer&gt; Wall with East Chair</t>
  </si>
  <si>
    <t>13s1</t>
  </si>
  <si>
    <t xml:space="preserve"> For the given puzzle, we can create a set of relationships between the different elements. We'll use "&lt;" to represent 'is left of', "F" for 'facing', and "E" for 'exit'.
1. There is a square table in the center of the room with one chair on each side: north, east, south, and west.
2. Alice is sitting on west side, facing east.
3. Bob is sitting on the east side, facing west.
4. The exit door is in front of Bob.
Now let's connect these relationships by identifying the connected entities or directions.
Alice -&gt; West -&gt; Table_center -&gt; East -&gt; Chair_East -&gt; Bob
Bob -&gt; East -&gt; Table_center -&gt; West -&gt; Chair_West -&gt; Alice
Bob -&gt; Front -&gt; Exit_door
Next, analyze which relationships are significant to find the answer. In this case, we need to determine which wall has the exit door. We know that the exit door is in front of Bob who is on the east side. So, the only related relationship here is "Front".
The only wall mentioned in the relationships is 'front'. Since the exit door is in front of Bob (who is on the east side), we can infer that the wall with the exit door is the eastern one.
FINAL_ANSWER: &lt;Wall_with_Exit_Door&gt; = East</t>
  </si>
  <si>
    <t>13s2</t>
  </si>
  <si>
    <t xml:space="preserve"> First let's create relationships using the given information.
1. Table is a square in the center of the room.
2. One chair on each side of the table: north, east, south, and west.
3. Alice is on the west side and facing east.
4. Bob is on the east side and facing west.
5. The exit door is in front of Bob (which means it's on the same line as his head).
Now, translate these relationships into structured relationships. We can use &lt;Side&gt;&lt;Orientation&gt;&lt;Next&gt; format for their positions and facing directions, and 'Exit_door&lt;Location&gt;WALL' to denote the wall containing the exit door.
Alice: west&lt;Facing_east&gt;&lt;North&gt;
Bob: east&lt;Facing_west&gt;&lt;South&gt;
Exit_door&lt;Location&gt;: South
Final step is to find the wall with the exit door. Since the exit door is in the 'south' direction from Bob, we can infer that the wall containing the exit door should be the one opposite the 'south' direction, i.e., the 'north' direction. So, the final answer will be: FINAL_ANSWER: North</t>
  </si>
  <si>
    <t>13s3</t>
  </si>
  <si>
    <t xml:space="preserve"> First, let's create entities and their properties based on the given information.
Entities: Table, Room, Square_Table, Chair, North_Side_Chair, East_Side_Chair, South_Side_Chair, West_Side_Chair, Alice, Bob, Exit_Door
Properties: Table (in_center), Room (Square_Table), Square_Table (Table), Chair (Chair), North_Side_Chair (Chair), East_Side_Chair (Chair), South_Side_Chair (Chair), West_Side_Chair (Chair), Alice (sitting, West_Side_Chair, facing_east), Bob (sitting, East_Side_Chair, facing_west), Exit_Door (Bob, in_front)
Next, we need to translate these relationships into a structure that can be used for solving puzzles. In this case, we'll use sets for representing positions and relationships, and a set of walls for the room.
Positions and Relationships:
- Table_positions: {North_Side_Chair, East_Side_Chair, South_Side_Chair, West_Side_Chair}
- Alice_position: West_Side_Chair
- Alice_facing: East
- Bob_position: East_Side_Chair
- Bob_facing: West
- Door_relative_to_Bob: in_front
- Room_walls: {north, south, east, west}
Now, we'll solve the puzzle by identifying the wall containing the exit door. We know that the exit door is in front of Bob. Since Bob is facing west and the door is in front, this implies the door is to his right. As we consider the right side from the chair he's on, which is the East_Side_Chair, we get the following relationship: door_right_of_East_Side_Chair.
Finally, we need to find the position of the exit door with respect to the walls. Looking at the walls and their relationship to the door_right_of_East_Side_Chair, we can see the exit door would be to the left of the north wall. So</t>
  </si>
  <si>
    <t>14z1</t>
  </si>
  <si>
    <t>You are in a rectangular room. On the north wall, there is a painting. On the east wall, there is a window. On the south wall, there is a bookshelf. On the west wall, there is a door.Initially, you are standing in the center of the room, facing the painting (so you are facing north).Suddenly, the entire room rotates 90 degrees clockwise around its center, including all walls and objects inside it, but you do not rotate with it. You stay in the same physical orientation relative to the building (you are still facing the same absolute direction in the world).After the rotation:Which object is now directly in front of you?</t>
  </si>
  <si>
    <t xml:space="preserve"> After the rotation: The window is now directly in front of you.</t>
  </si>
  <si>
    <t>14z2</t>
  </si>
  <si>
    <t>14z3</t>
  </si>
  <si>
    <t xml:space="preserve"> After the rotation: The painting on the north wall is now directly in front of you as you are still facing the same absolute direction.</t>
  </si>
  <si>
    <t>14c1</t>
  </si>
  <si>
    <t xml:space="preserve"> First, we need to visualize the initial positioning of the walls and objects in the room and your current orientation. Initially, the north wall has a painting, the east wall has a window, the south wall has a bookshelf, and the west wall has a door. You are in the center facing the north wall, which means the painting.
Next, we consider the room's rotation. The rotation happens around the center of the room. This means the walls maintain their relative positions to each other but shift their locations by 90 degrees. In this case, the north wall becomes the east wall (painting to window), the east wall becomes the south wall (window to bookshelf), the south wall becomes the west wall (bookshelf to door), and the west wall remains the west wall (door to door).
Now let's focus on your position relative to the building and the direction you are facing. Since you were in the center initially facing north and didn't rotate along with the room, your orientation remained the same (facing north) even after the clockwise rotation of the room. 
Considering both the changes in the walls and your orientation, we now need to determine which object is directly in front of you after the rotation. Your orientation still points to the north, but the north wall's position has shifted to become the east wall. So, the object that was initially in the north wall (painting) is now on the east wall (window).
Final Answer: After the rotation, the window is now directly in front of you since it has taken the place of the painting on the north wall where you initially faced.</t>
  </si>
  <si>
    <t>14c2</t>
  </si>
  <si>
    <t xml:space="preserve"> First, let's understand the directions in relation to the room before the rotation. Initially, the north wall had a painting, which was directly in front of you since you were facing it. The other walls and their corresponding objects were as follows - east wall: window, south wall: bookshelf, and west wall: door. 
Now, the entire room has rotated 90 degrees clockwise around its center, while you remain stationary and still face the same absolute direction in the world. In this scenario, the north wall is now the east wall. Similarly, the east wall becomes the new north wall. So, the painting that was initially on the north wall now lies on the new east wall after the rotation. 
Considering your current orientation and the positions of objects, the east wall (the former north wall) is to your right, the south wall (where the bookshelf is) is behind you, the west wall (with the door) is to your left, and the new north wall (which has the painting now) is in front of you. 
So, the object that is now directly in front of you is the painting which initially was on the north wall, but is currently on the newly oriented east wall.</t>
  </si>
  <si>
    <t>14c3</t>
  </si>
  <si>
    <t xml:space="preserve"> First, we need to visualize the initial position. The room and objects are as follows:
- You are in the center, facing North (North wall has a painting)
- East wall has a window
- South wall has a bookshelf
- West wall has a door
Now imagine the room rotating 90 degrees clockwise around its center. This will change the position of the objects, but you are not moving. We need to identify which object is directly in front of you after this change.
The room rotated, and each wall's respective object is now located next to it:
- You still face North (the old South wall), so it's now left of you. It has a door
- The South wall (old East wall) has a bookshelf
- The East wall (old North wall) now has a painting
- The West wall (old West wall) has a window
Considering your initial orientation and the new positions of the objects, you are still facing the same way, with the same absolute direction. Therefore, when the rotation finishes, the painting is still in front of you. So, the final answer is that the painting on the east wall is directly in front of you.</t>
  </si>
  <si>
    <t>14d1</t>
  </si>
  <si>
    <t xml:space="preserve"> Step 1: Key Clues - initial position, room orientation, rotation, North wall (painting), East wall (window), South wall (bookshelf), West wall (door).
Step 2: Interpretation - Initial position (facing north), rotation (clockwise 90 degrees), wall objects (painting, window, bookshelf, door), no change in orientation.
Step 3: Combine clues - After the rotation, we know our initial orientation didn't change. Since the room rotated around its center, the wall facing north would be now the east wall which originally had a window. So the object now directly in front of you would be the window.
FINAL_ANSWER: The window is now directly in front of you.</t>
  </si>
  <si>
    <t>14d2</t>
  </si>
  <si>
    <t xml:space="preserve"> Step 1: Key clues - room is rectangular, north wall has a painting, east wall has a window, south wall has a bookshelf, west wall has a door, initially you are in the center facing north, room rotates clockwise, you don't move during rotation.
Step 2: Interpreting the clues - The room stays rectangular during the rotation. The painting remains on the north wall, the window on the east wall, the bookshelf on the south wall, and the door on the west wall. Your orientation stays the same when you face north even if the room rotates.
Step 3: Combining the clues - If the room turns 90 degrees clockwise, the old north wall will become the new east wall, the old east wall will become the new south wall, the old south wall will become the new west wall, and the old west wall will become the new north wall. Since you are still facing the same direction, which object was initially in front of you will remain in front after the rotation. However, this object is now shifted to a different wall due to the change in the walls' positions. So, the final answer after the rotation is: Initially, the painting was in front of you. Now, the window is in front of you.</t>
  </si>
  <si>
    <t>14d3</t>
  </si>
  <si>
    <t xml:space="preserve"> Step 1: Key clues in the puzzle - rectangular room, painting on the north wall, window on the east wall, bookshelf on the south wall, door on the west wall, initially standing in the center facing the painting, room rotates 90 degrees clockwise, you don't rotate, you stay in the same orientation.
Step 2: Interpretation - The room and all objects have shifted positions due to the rotation. Initially, you were facing the painting on the north wall; after rotation, you will still face the same direction but with different objects in your view.
Step 3: Combining clues - Since you're still facing the same absolute direction in the world after the rotation, this means that the painting would be directly replaced by something else. By understanding the initial setup of the room, we can determine that since the east wall has a window and the south wall has a bookshelf, they would both be on your sightline after the rotation. However, you can't see the door as it's on the opposite wall. So, FINAL_ANSWER: The window and the bookshelf are now directly in front of you.</t>
  </si>
  <si>
    <t>14v1</t>
  </si>
  <si>
    <t xml:space="preserve"> After the rotation: Since the initial wall positions are as follows - North wall: Painting, East wall: Window, South wall: Bookshelf, West wall: Door - after the 90-degree clockwise rotation, the wall positions will change to: North wall: Door, East wall: Painting, South wall: Bookshelf, and West wall: Window. As you are staying in the same orientation, you're still facing north. So, the Painting is now directly in front of you. FINAL_ANSWER: Painting</t>
  </si>
  <si>
    <t>14v2</t>
  </si>
  <si>
    <t xml:space="preserve"> After the rotation: The initial north wall becomes the new east wall. The painting which was initially on the north wall is now on the new east wall. So, the painting is now directly in front of you. FINAL_ANSWER: Painting</t>
  </si>
  <si>
    <t>14v3</t>
  </si>
  <si>
    <t xml:space="preserve"> After the rotation, the painting was on the south wall, the bookshelf on the east wall, the window on the north wall, and the door on the west wall. Initially facing north, after the 90-degree clockwise rotation, I would be facing east since I didn't rotate along with the room. So, the object that is now directly in front of me is the window. FINAL_ANSWER: The window</t>
  </si>
  <si>
    <t>14e1</t>
  </si>
  <si>
    <t xml:space="preserve"> Clues: Initial position - facing north (painting), rotation - 90 degrees clockwise, does not rotate with the room, stays in the same physical orientation relative to the building. After the rotation, facing is still the same absolute direction in the world.
Reasoning: Since the person was initially facing north which has the painting, after the rotation, the direction they are facing would have changed to be right-side up when compared to the original room. So, after the 90 degrees clockwise rotation, the direct front object for them would be the one in their initial facing direction (which was north before), that is still north even though the room layout has been rotated. Therefore, the final answer is FINAL_ANSWER: The painting is now directly in front of you.</t>
  </si>
  <si>
    <t>14e2</t>
  </si>
  <si>
    <t xml:space="preserve"> We have the following clues:
1. You are initially standing in the center of the room, facing the painting on the north wall.
2. The room rotates 90 degrees clockwise around its center.
3. The entire room, including walls and objects, rotates, except for your position.
4. You are still facing the same absolute direction in the world.
5. The door is on the west wall.
6. The bookshelf is on the south wall.
Considering these clues, if the room rotated and you did not, the order of the walls remains the same. So, the north wall would be where the painting used to be, which is the east wall after the rotation. The east wall with the window was now the south wall. Since you faced north and didn't change direction, the rotation put the door (west wall) to your left, and the bookshelf (south wall) to your right. After the rotation, the object that is directly in front of you is the door since you didn't move, and it is now on the side your body faces.
FINAL_ANSWER: The door is now directly in front of you.</t>
  </si>
  <si>
    <t>14e3</t>
  </si>
  <si>
    <t xml:space="preserve"> Clues:
1. Initially, you are standing in the center of the room, facing the painting (north).
2. The entire room rotates 90 degrees clockwise around its center.
3. You do not rotate with it and remain in the same physical orientation.
Reasoning: Since the room has been rotated 90 degrees clockwise, we need to consider the initial positions and orientations before the rotation. The initial position is you facing the north wall with a painting on it. After the rotation, this implies that the north has become west, and the painting is now on the west wall. You have not changed your orientation, so you continue facing north, which is now the west direction. Therefore, after the rotation, the object which is directly in front of you is the painting. FINAL_ANSWER: &lt;Answer&gt; The painting is now directly in front of you.</t>
  </si>
  <si>
    <t>14g1</t>
  </si>
  <si>
    <t xml:space="preserve"> Clue 1 - You are in a rectangular room. No location for an object.
Clue 2 - On the north wall, there is a painting. In original position.
Clue 3 - On the east wall, there is a window. After rotation, it will be on the south wall.
Clue 4 - On the south wall, there is a bookshelf. After rotation, it will be on the east wall.
Clue 5 - On the west wall, there is a door. After rotation, it will be on the north wall.
Clue 6 - Initially, you are standing in the center of the room, facing the painting (so you are facing north). After the rotation, still facing the same absolute direction.
Clue 7 - Suddenly, the entire room rotates 90 degrees clockwise around its center. Objects and walls rotate, but you stay in place.
Clue 8 - After the rotation: Which object is now directly in front of you? Object in front after the rotation.
FINAL_ANSWER: After the rotation, the object now in front of you is the window on the new south wall (former east wall).</t>
  </si>
  <si>
    <t>14g2</t>
  </si>
  <si>
    <t xml:space="preserve"> After the rotation, we can understand the given information in this new order:
1. You are in a rectangular room.
2. North wall has a painting.
3. East wall has a window.
4. South wall has a bookshelf.
5. West wall has a door.
6. Initially, you are standing in the center of the room, facing the painting (north).
7. The entire room rotates 90 degrees clockwise around its center.
8. You don't rotate with the room, you stay in the same physical orientation relative to the building.
Now, let's analyze your position after the rotation: Since you didn't move and you stayed in the same orientation relative to the world, your initial direction (north) would be still pointing towards the painting. As the room rotated, the other walls and objects also changed their positions accordingly. To calculate which object is now directly in front of you, we need to think about the direction you are facing, which is north, and find the object that is on that side when looking from your current location.
After the rotation:
The painting was initially on the north wall, which means it is still on the north wall. It rotated as well, but it remains on the same wall as before. Therefore, after the rotation, the painting would still be directly in front of you as you are facing north.
FINAL_ANSWER: Painting</t>
  </si>
  <si>
    <t>14g3</t>
  </si>
  <si>
    <t xml:space="preserve"> 
1. You are in a rectangular room.
2. North wall - painting.
3. East wall - window.
4. South wall - bookshelf.
5. West wall - door.
6. Initially, facing north (painting)
7. Sudden rotation 90 degrees clockwise.
8. No change in your physical orientation, facing the same absolute direction.
9. After the rotation, which object is now directly in front of you.
10. FINAL_ANSWER: Answer.
FINAL_ANSWER: The object that is now directly in front of you after the rotation is the window.</t>
  </si>
  <si>
    <t>14s1</t>
  </si>
  <si>
    <t xml:space="preserve"> To translate the relationships, we will create nodes and links to represent the relationships between the entities. We will have a 'ROOM' as a central node which has four 'WALL' nodes (NORTH, EAST, SOUTH, WEST) connected to it. The following nodes are connected to these 'WALL' nodes accordingly. We also connect the initial conditions that relate to starting positions and the rotation process.
Node Structure:
- ROOM
  - NORTH_WALL (painting)
  - EAST_WALL (window)
  - SOUTH_WALL (bookshelf)
  - WEST_WALL (door)
Links:
1. Initially, user faces north, so they are linked with &lt;ROOM, NORTH_WALL&gt;.
2. After rotation, the user doesn't rotate themselves, they remain in the same position, so the links won't change.
3. 'ROTATION_CLOCKWISE' represents the rotation, which affects the relationships between the walls and the objects on them.
Solution: Since the rotation happens around the center, and the user doesn't rotate with the room, after the clockwise rotation, the object that is now directly in front of the user would be the one that was initially next to the east wall. This is the object on the south wall.
FINAL_ANSWER: South_Wall (bookshelf)</t>
  </si>
  <si>
    <t>14s2</t>
  </si>
  <si>
    <t xml:space="preserve"> Analyzing relationships:
- A is center of room -&gt; N/A
- Room has north wall with painting -&gt; Painting on NWALL
- Room has east wall with window -&gt; Window on EWALL
- Room has south wall with bookshelf -&gt; Bookshelf on SWALL
- Room has west wall with door -&gt; Door on WWALL
- Initially facing north -&gt; Initial_Facing = "North"
- Rotating 90 degrees clockwise around center -&gt; Rotation = "Clockwise90"
- No change in physical orientation -&gt; Orientation_Change = "No_Change"
- After rotation: Facing the same direction -&gt; Final_Facing = "North"
Relationships after translation:
- In_Center_Of_Room
- Painting_On_NWALL
- Window_On_EWALL
- Bookshelf_On_SWALL
- Door_On_WWALL
- Initial_Facing = "North"
- Rotation = "Clockwise90"
- Orientation_Change = "No_Change"
- Final_Facing = "North"
Solving puzzle with translated relationships:
- First, rotate the relationships according to the clockwise rotation:
   - Swap NWALL with EWALL and EWALL with NWALL
   - Swap SWALL with WWALL and WWALL with SWALL
   - Swap initial facing from north to east (north becomes east due to the rotation)
   - No change in orientation, so orientation remains the same.
   - Maintain final facing as north.
- After translating the relationships and applying the rotation, we have the following setup:
   - In_Center_Of_Room
   - Painting_On_EWALL
   - Window_On_NWALL
   - Bookshelf_On_SWALL
   - Door_On_WWALL
   - Initial_Facing = "East"
   - Rotation = "Clockwise90"
   - Orientation_Change = "No_Change"
   - Final_Facing = "North"
- Now, focus on the question: After the rotation, which</t>
  </si>
  <si>
    <t>14s3</t>
  </si>
  <si>
    <t xml:space="preserve"> Initially, you are in the center of the room facing the north wall where there is a painting. The room rotates 90 degrees clockwise so that the north wall is now the east wall, the east wall becomes the south wall, the south wall becomes the west wall, and the west wall becomes the north wall. Since you are facing north all along, the painting remains on your right side, which means the painting is now at the same spot as the original window position, as the east wall was rotated to your right becoming the east wall again. After the rotation, the painting (which was initially on the east wall) is now directly in front of you since you have not moved and the room has rotated around you while keeping your orientation fixed. Therefore, the final answer is: FINAL_ANSWER: &lt;Painting&gt;</t>
  </si>
  <si>
    <t>15z1</t>
  </si>
  <si>
    <t>You are in a small room. On the floor in front of you are three boxes in a straight line: red, blue, and green. From your point of view, the red box is on the left, the blue box is in the middle, and the green box is on the right. You walk around to the other side of the line of boxes and face them again from the opposite direction. From this new position, which box is now on your left?</t>
  </si>
  <si>
    <t xml:space="preserve"> From your new position, the red box will be on your left as it was originally on the left when you were facing them from the first angle. The order remains the same, just reversed with respect to you.</t>
  </si>
  <si>
    <t>15z2</t>
  </si>
  <si>
    <t xml:space="preserve"> From the new position, the red box will be on your left as it is still on the far left compared to the other two boxes.</t>
  </si>
  <si>
    <t>15z3</t>
  </si>
  <si>
    <t xml:space="preserve"> From the new position, the green box is now on your left.</t>
  </si>
  <si>
    <t>15c1</t>
  </si>
  <si>
    <t xml:space="preserve"> To solve this puzzle, let's analyze the situation step by step while changing our perspective.
1. Start with the initial view: Red box is on the left, Blue box is in the middle, Green box is on the right. The room layout remains fixed, but our position has changed.
2. We walk around the boxes and change our viewpoint. Now we are looking at the boxes from the opposite direction.
3. Since we are facing the opposite direction and have not moved the boxes, it means that the Red box is now on the right. It has shifted its position based on our change in viewpoint.
4. The Blue box remains in the same position as it was before â€“ still in the middle.
5. Similarly, the Green box is still on the right side, just like before, and will be on the left according to this new perspective.
6. As a result, when we look at the boxes from the opposite side, the box on the left will be the Green box.
Final answer: From the opposite direction, the Green box is on your left. This is because our viewpoint has been reversed, so the relative positions of the Red and Blue boxes remain unchanged, and the Green box becomes the box on the left.</t>
  </si>
  <si>
    <t>15c2</t>
  </si>
  <si>
    <t xml:space="preserve"> To solve this puzzle step by step, let's consider the initial situation where you are standing in the room looking at the boxes in their original order (red, blue, green) with the red one on the left, the blue one in the middle, and the green one on the right. Your perspective is from the starting point of view.
Now, you change your position to the other side of the boxes, facing the same line but from a different angle. In this new perspective, the order remains the same as before: red, blue, green. However, the relative positions have changed compared to your initial point of view.
To determine which box is on your left from the new perspective, imagine yourself standing with the line of boxes behind you, looking back towards the entrance. This time, the red box will be on your right, while the blue box remains in the center and the green box is still on the left. 
So, when you are standing on the other side of the line of boxes and facing them from that new position, the box on your left would be the green one. Final answer: the green box is on the left.</t>
  </si>
  <si>
    <t>15c3</t>
  </si>
  <si>
    <t xml:space="preserve"> When you change your perspective and face the boxes from the opposite side, you will see them from a different angle. Now the boxes' positions relative to your perspective have changed. Since you initially mentioned that the red box is on the left when looking towards the boxes, this implies that the blue box was in the center and the green box was on the right.
Now, with your change in position, you should visualize the boxes being in the same order but mirrored (this is because you are essentially flipping your view). This means that the green box, which was on the right initially, will be on the left now. Similarly, the blue box will become the central or middle box, and the red box will still be on the left as it always was, regardless of your position.
In summary, the green box is now on your left after changing your perspective.</t>
  </si>
  <si>
    <t>15d1</t>
  </si>
  <si>
    <t xml:space="preserve"> Step 1: Key clues in the puzzle - Small room, three boxes (red, blue, green), placed in a straight line, red on left, blue in middle, green on right, change positions to face the boxes from the other side.
Step 2: Interpretation of clues - The starting position has the red, blue, and green boxes in that order with their colors. After moving to the opposite side, the person should see the same boxes but rotated by 180 degrees.
Step 3: Combine clues to reach a conclusion - Since the boxes did not change their colors or their original order, after changing sides and facing the boxes, the red box would still be on the left as it was the last one in the original sequence when rotated.
FINAL_ANSWER: The box on your left is the red box.</t>
  </si>
  <si>
    <t>15d2</t>
  </si>
  <si>
    <t xml:space="preserve"> Step 1: Key clues: Small room with three boxes (red, blue, and green), their positions - red on left, blue in middle, green on right, change of perspective, facing the boxes from another side.
Step 2: Red is on left, Blue is in middle, Green is on right when standing in original position. Red will still be on left, Blue remains in the middle, Green moves to the left when facing the boxes from the opposite side.
Step 3: Combine these observations - the given change in perspective puts us back at the initial setup, just from a different angle. The green box was on the right initially but, after changing our position, it becomes the leftmost box. Therefore, the answer is the green box.
FINAL_ANSWER: Green</t>
  </si>
  <si>
    <t>15d3</t>
  </si>
  <si>
    <t xml:space="preserve"> Step 1: Key clues - small room, three boxes (red, blue, green), color order (left-middle-right), two different positions (initial and opposite). 
Step 2: Interpretation - "small room" implies the setting, "three boxes" indicates there are 3 objects, "in a straight line" conveys their arrangement, "red, blue, and green" represent colors, "left-middle-right" is the initial perspective, "opposite direction" means a change in viewpoint.
Step 3: Combine - From our initial position, we see red on the left, blue in the middle, and green on the right. We then move to the opposite side, which flips the view. This means that the box initially considered as on the right, but from our new perspective, it's on the left.
FINAL_ANSWER: The box that's now on your left from the opposite direction after walking around the boxes is the green box.</t>
  </si>
  <si>
    <t>15v1</t>
  </si>
  <si>
    <t xml:space="preserve"> First, solve the given puzzle normally. From our initial point of view, we have three boxes (red, blue, and green) in a straight line with their respective positions (left, middle, and right). So the answer in the initial position is red, blue, and green.
Now, we change our point of view by facing the boxes from the opposite side of the line. This means the red box should be considered on the right instead of the left, making it a new left-most box for the opposite side. The order of the boxes remains the same (blue in the middle, and green on the right). With the updated order, the answer becomes red, blue, and green.
The final result seems to match the original order (red, blue, and green), so no further adjustment is needed. FINAL_ANSWER: red, blue, green</t>
  </si>
  <si>
    <t>15v2</t>
  </si>
  <si>
    <t xml:space="preserve"> The initial arrangement of the boxes is the same even when you change your viewpoint, so the red box remains at the left. FINAL_ANSWER: red box</t>
  </si>
  <si>
    <t>15v3</t>
  </si>
  <si>
    <t xml:space="preserve"> Solving the puzzle normally: When we are at our initial point of view, the boxes are arranged as follows: R(red) B(blue) G(green). We then move to the other side and look at them from the opposite direction. Therefore, the arrangement should be G(green) B(blue) R(red). So, from this position, the box on the left side would be G(green).
FINAL_ANSWER: Green
Checking whether the answer satisfies all clues: The given clue states that we are in a small room with three boxes - red, blue, and green, in a straight line. They are arranged in a specific order in which the red box is on the left, the blue box is in the middle, and the green box is on the right when looking from the initial position. The next part of the puzzle involves changing the perspective and observing the boxes from the opposite direction. According to the arrangement determined during the shift in perspective, the green box is on the left while looking from the new point of view. This seems to align with the information provided in the original clues, so our reasoning appears valid.
Final Answer: Green</t>
  </si>
  <si>
    <t>15e1</t>
  </si>
  <si>
    <t xml:space="preserve"> Clues:
1. In a small room with three boxes: red, blue, and green.
2. Boxes are in a straight line.
3. Red box is on the left, blue box is in the middle, and green box is on the right.
4. You are walking around and facing the boxes from the other side.
Reasoning based on the given clues:
When you initially face the boxes, the red box is on the left, so when you rotate your perspective to look at the boxes from the opposite side, the box that was previously furthest to the left (red box) will be on your right. Therefore, after turning around, the box on your left will be the one that was originally farthest to the right, which is the green box. FINAL_ANSWER: Green box</t>
  </si>
  <si>
    <t>15e2</t>
  </si>
  <si>
    <t xml:space="preserve"> Clue 1: The red box is on the left when facing the line.
Clue 2: You are walking around the line of boxes and facing them from the opposite direction.
Clue 3: The blue box is in the middle.
Clue 4: The green box is on the right when facing the line.
Reasoning: From Clue 1, we know that the red box is on the left when facing the line initially. From Clue 2, we understand that when changing our perspective by walking around, the order changes. Since the blue box remains in the same position (middle) according to Clue 3, it would not change its relative location. The green box was originally on the right, but when we switch perspectives, it will be on our left due to the rotation of the boxes.
FINAL_ANSWER: The green box is now on your left.</t>
  </si>
  <si>
    <t>15e3</t>
  </si>
  <si>
    <t xml:space="preserve"> Clues provided:
1. The person is in a small room.
2. There are three boxes on the floor - red, blue, and green.
3. They are in a straight line from left to right - red (left), blue (middle), and green (right).
4. The person's original point of view has the red box on the left.
5. The person walks around to the other side of the line of boxes.
6. After facing them again, they see the boxes from the opposite direction.
7. When considering the new point of view, the red box becomes the leftmost box.
FINAL_ANSWER: From the new point of view, the box on the left is the red box.</t>
  </si>
  <si>
    <t>15g1</t>
  </si>
  <si>
    <t xml:space="preserve"> Clues:
1. You are in a small room.
2. On the floor in front of you are three boxes in a straight line: red, blue, and green.
3. The red box is on the left, the blue box is in the middle, and the green box is on the right.
4. You walk around to the other side of the line of boxes and face them again from the opposite direction.
5. From this new position, which box is now on your left?
Solution:
1. Start at any given box.
2. Change your viewpoint to be on the opposite side of the box line.
3. Look at the order of the boxes and find the one that's closest to the new 'left'.
FINAL_ANSWER: Box on the left (now) - The green box.</t>
  </si>
  <si>
    <t>15g2</t>
  </si>
  <si>
    <t xml:space="preserve"> 
1. Clue 1: You are in a small room.
2. Clue 2: On the floor in front of you are three boxes in a straight line: red, blue, and green.
3. Clue 3: From your point of view, the red box is on the left, the blue box is in the middle, and the green box is on the right.
4. Clue 4: You walk around to the other side of the line of boxes and face them again from the opposite direction.
5. Clue 5: From this new position, which box is now on your left?
6. End with: FINAL_ANSWER: &lt;Answer&gt;
To solve the puzzle, we need to know which box is on the left when you face the boxes from the new position. When facing them from the first position, the order was Red (left), Blue (middle), Green (right). After walking around, the order now is Blue (middle), Green (right), Red (left) from the new perspective. Therefore, the box that is on the left from the new position would be the Red box.
FINAL_ANSWER: Red</t>
  </si>
  <si>
    <t>15g3</t>
  </si>
  <si>
    <t xml:space="preserve"> First Clue: You are in a small room.
Second Clue: On the floor in front of you are three boxes in a straight line: red, blue, and green.
Third Clue: From your point of view, the red box is on the left, the blue box is in the middle, and the green box is on the right.
Fourth Clue: You walk around to the other side of the line of boxes and face them again from the opposite direction.
Fifth Clue: From this new position, which box is now on your left?
Solving the puzzle:
1. Change our perspective and walk around to the opposite side of the line.
2. The original positions of boxes remain unchanged.
3. From this new point of view, the red box is still on the left but now the blue box is on the left and the green box on the right.
4. So the box on our left after turning around is the blue box.
FINAL_ANSWER: Blue</t>
  </si>
  <si>
    <t>15s1</t>
  </si>
  <si>
    <t xml:space="preserve"> Translation: In the original position, RedBox is LeftOf BlueBox, BlueBox is CenterOf Boxes, GreenBox is RightOf BlueBox, In the reversed position, RedBox is LeftOf BlueBox (unaffected), BlueBox is CenterOf Boxes (unchanged), GreenBox is RightOf BlueBox (changed to LeftOf BlueBox). To find the answer, consider the new positions in the reversed order.
FINAL_ANSWER: Answer: GreenBox</t>
  </si>
  <si>
    <t>15s2</t>
  </si>
  <si>
    <t xml:space="preserve"> Create relationships for the given puzzle: A (red box) is left of B (blue box), C (green box) is right of B (blue box) after walking around, A is left of B (blue box) after moving, A (red box) is not on the left, C is left of B (blue box) as A is not on the left anymore.
Now use the translated relationships to solve the puzzle:
Finally, after solving the relationships, we find that from the initial position, the red box was on the left. Upon moving to the opposite side and looking at the boxes, the new situation is as follows - the red box is no longer on the left, but the green box has moved to be on the left. The blue box remains in the middle. Therefore, FINAL_ANSWER: green box</t>
  </si>
  <si>
    <t>15s3</t>
  </si>
  <si>
    <t xml:space="preserve"> First, let's represent relationships among boxes:
1. A (red) is left of B (blue)
2. C (green) is right of B (blue)
3. From the initial standpoint, A (red) is left of B (blue).
4. From the initial standpoint, C (green) is right of B (blue).
5. While walking around, A (red), B (blue), and C (green) maintain their relative positions. The only change is the viewer's perspective.
6. New viewpoint: From the opposite side, A (red) is right of B (blue) and C (green) is left of B (blue).
7. FINAL_ANSWER: &lt;Red or Green&gt;
Since the red and green boxes have swapped their positions (left and right of blue) during the change in the viewer's perspective, it's not clear which one is on the left side. Thus, the final answer will be Red or Green.</t>
  </si>
  <si>
    <t>16z1</t>
  </si>
  <si>
    <t>You have to complete four tasks: Find Key, Unlock Door, Read Note, and Press Button. Clues: You must find the key before you can unlock the door. You must unlock the door before you can read the note. You must read the note before you press the button. You cannot skip any step. What is the correct order of tasks?</t>
  </si>
  <si>
    <t xml:space="preserve"> The correct order of tasks is: Find Key, Unlock Door, Read Note, and Press Button.</t>
  </si>
  <si>
    <t>16z2</t>
  </si>
  <si>
    <t xml:space="preserve"> The correct order of tasks is as follows: Find Key, Unlock Door, Read Note, and Press Button.</t>
  </si>
  <si>
    <t>16z3</t>
  </si>
  <si>
    <t>16c1</t>
  </si>
  <si>
    <t xml:space="preserve"> To solve this puzzle, we need to understand that the tasks are interconnected and follow a specific sequence. If one task depends on another, it means we have to complete the earlier task to move forward. We also know we can't skip any steps in the process.
1. Firstly, we have to find the key since it's the initial step needed for the other tasks. The key helps us unlock the door, which in turn allows us to access the note. So, the order starts with finding the key.
2. After having the key, we need to unlock the door using it. This will grant us access to the location where the note is placed. Therefore, the second step comes after finding the key - unlocking the door.
3. With the door open, we can now read the note that is placed inside the room, as mentioned earlier. This knowledge is crucial for understanding the next part of the process - pressing the button. Hence, reading the note is the third step in the sequence.
4. Finally, we have all the necessary information by reading the note, and now we can fulfill the last task, which is to press the button according to the instructions or content found in the note. This action concludes the task set given in the puzzle.
In conclusion, the correct order of tasks to solve this puzzle is: Find Key, Unlock Door, Read Note, and Press Button. This sequence ensures that each task builds upon the previous one and maintains logical coherence.</t>
  </si>
  <si>
    <t>16c2</t>
  </si>
  <si>
    <t xml:space="preserve"> To solve the puzzle, we need to understand the relationships between the tasks and follow a proper order.
1. Find Key - This task must be done first as it will lead to completing the 'Unlock Door' task next. We need the key to unlock the door.
2. Unlock Door - Once we have found the key in step 1, we can now unlock the door, which leads us to step 3.
3. Read Note - After successfully unlocking the door, we can move on to read the note. The note is only accessible once the door is open.
4. Press Button - The last task involves pressing the button after reading the note.
Reasoning: In this puzzle, each task has a direct dependency on another task, starting from finding the key to the final act of pressing the button. By understanding these dependencies, we can arrange the steps in the correct order to progress through the puzzle efficiently.
Final Answer: The correct order of tasks is: Find Key, Unlock Door, Read Note, and Press Button.</t>
  </si>
  <si>
    <t>16c3</t>
  </si>
  <si>
    <t xml:space="preserve"> The reasoning is that each task has a specific dependency on the previous ones. In order to progress from one task to another, we need to follow the sequence given by the clues. If we don't follow this sequence or try to skip any steps, we won't be able to complete the full puzzle. 
Now let's break down the clues:
1. To find the key, no specific step comes before it. Hence, this task should be the initial action.
2. We have to unlock the door after finding the key, but we can't do it until the key is found. So, we should unlock the door right after finding the key.
3. Reading the note only comes after successfully unlocking the door.
4. Finally, pressing the button requires us to have read the note first.
The reasoning indicates that the tasks must be completed in this order: Find Key, Unlock Door, Read Note, and Press Button. The final answer is the list of tasks arranged according to their dependencies.</t>
  </si>
  <si>
    <t>16d1</t>
  </si>
  <si>
    <t xml:space="preserve"> Step 1: Key clues - Find Key, Unlock Door, Read Note, Press Button, You must find the key, unlock the door, read the note, read the note before pressing the button, you cannot skip any step. 
Step 2: Interpret each clue - 
- To find the key is required before unlocking the door. 
- To unlock the door is necessary before reading the note. 
- To read the note is crucial before pressing the button. 
- The note must be read after finding the key and unlocking the door. 
- There are no steps which can be skipped, every task must be completed. 
Step 3: Combine the clues - Since there are no shortcuts allowed and the order of tasks must be strictly followed, the correct order of tasks is:
FINAL_ANSWER: &lt;Answer&gt; Find Key, Unlock Door, Read Note, Press Button.</t>
  </si>
  <si>
    <t>16d2</t>
  </si>
  <si>
    <t xml:space="preserve"> Step 1: Key clues - Find Key, Unlock Door, Read Note, and Press Button; You must find the key before unlocking the door; You must unlock the door before reading the note; You must read the note before pressing the button; Cannot skip any step.
Step 2: Interpretations - The puzzle revolves around these specific tasks and their dependencies. To progress, a task should be completed before its successor.
Step 3: Combine the clues to reach a conclusion: Considering the order in which tasks need to be done, we start with finding the key (before unlocking), then we unlock the door (before reading), after that, we read the note (before pressing the button). There are no tasks left unmentioned or out of order. Since there's no specific mention of returning to any previously finished task, we can assume the order is sequential without revisiting them. So, the final answer would be: FINAL_ANSWER: Find Key, Unlock Door, Read Note, Press Button.</t>
  </si>
  <si>
    <t>16d3</t>
  </si>
  <si>
    <t xml:space="preserve"> Step 1: Key clues in the puzzle - Find Key, Unlock Door, Read Note, Press Button; relationships among them - must find key before unlocking door, must unlock door before reading note, must read note before pressing button, no skipping any step.
Step 2: Interpreting the clues - To find key, we need a specific object (key). To unlock door, we need to use that found key. To read note, we need to access the location or object where the note is placed. To press button, we need to know the purpose it serves from the note. We are not allowed to jump directly to any task, implying that everything should follow a clear path.
Step 3: Combining the clues to reach a conclusion - Since we have to follow the established connections between tasks without missing any steps, we will start with finding the key since it's the starting point. After locating the key, we proceed with unlocking the door using the key. Then, after unlocking the door, we will be able to access the note and read its content. Finally, once we've read the note and understand its message, we can proceed by pressing the button according to the information in the note. So the final answer is: FINAL_ANSWER: Find Key, Unlock Door, Read Note, Press Button.</t>
  </si>
  <si>
    <t>16v1</t>
  </si>
  <si>
    <t xml:space="preserve"> FINAL_ANSWER: Find Key, Unlock Door, Read Note, Press Button</t>
  </si>
  <si>
    <t>16v2</t>
  </si>
  <si>
    <t xml:space="preserve"> The steps should be in this sequence: Find Key, Unlock Door, Read Note, and Press Button. FINAL_ANSWER: &lt;Answer&gt; Find Key, Unlock Door, Read Note, Press Button</t>
  </si>
  <si>
    <t>16v3</t>
  </si>
  <si>
    <t xml:space="preserve"> To solve the puzzle, we should follow the given steps in a logical order while considering that each task is dependent on the previous one being done first. So, the correct order will be: Find Key, Unlock Door, Read Note, and Press Button.
FINAL_ANSWER: Find Key, Unlock Door, Read Note, Press Button</t>
  </si>
  <si>
    <t>16e1</t>
  </si>
  <si>
    <t xml:space="preserve"> Here are the given clues:
1. Find Key
2. Unlock Door
3. Read Note
4. Press Button
5. You must find the key before you can unlock the door.
6. You must unlock the door before you can read the note.
7. You must read the note before you press the button.
8. You cannot skip any step.
To solve this step by step, we need to follow the clues to ensure no steps are skipped while also maintaining their proper sequence. The first task is "Find Key." Since there's a direct link between it and finding the key before the next task (unlocking the door), we must perform the task in this order:
1. Find Key -&gt; Unlock Door -&gt; Read Note -&gt; Press Button
The second task mentioned is "Unlock Door," which depends on the previous action of finding the key. Therefore, the updated order would be:
1. Find Key
2. Unlock Door -&gt; Read Note -&gt; Press Button
The third task requires "Read Note" after unlocking the door. Adding it to our current list, we now have:
1. Find Key
2. Unlock Door
3. Read Note -&gt; Press Button
Lastly, the final action is to "Press Button" after reading the note. Combining all the tasks, we end up with the following sequence as the FINAL_ANSWER:
1. Find Key
2. Unlock Door
3. Read Note
4. Press Button</t>
  </si>
  <si>
    <t>16e2</t>
  </si>
  <si>
    <t xml:space="preserve"> 
1. Clue: You must find the key before you can unlock the door. 
2. Clue: You must unlock the door before you can read the note. 
3. Clue: You must read the note before you press the button. 
4. Clue: You cannot skip any step. 
Combining these clues into a logical order, we can see that the only way to proceed is by first finding the key, then unlocking the door, reading the note and finally pressing the button. This order ensures each task is done in the right sequence without skipping any of them. FINAL_ANSWER: &lt;Answer&gt; Key, Unlock Door, Read Note, Press Button</t>
  </si>
  <si>
    <t>16e3</t>
  </si>
  <si>
    <t xml:space="preserve"> The given clues are: 
1. Find Key
2. Unlock Door
3. Read Note
4. Press Button
5. Cannot skip any step
Using the clues, we see that certain actions have dependencies on others. For example, "Find Key" must come before "Unlock Door" because it is required to unlock the door. Similarly, "Read Note" should be done after "Unlock Door" since we need to do so before "Pressing Button". We must follow these steps in a specific order without missing any step.
By analyzing the dependencies and applying the rules set by the clues, the correct order of tasks would be: Find Key, Unlock Door, Read Note, and Press Button. FINAL_ANSWER: &lt;Answer&gt; Find Key, Unlock Door, Read Note, Press Button</t>
  </si>
  <si>
    <t>16g1</t>
  </si>
  <si>
    <t xml:space="preserve"> 
1. Clue: Find Key
2. Clue: Unlock Door
3. Clue: Read Note
4. Clue: Press Button
Clue interpretations:
   - The first task is finding a key, which must be done before moving on to other steps.
   - The second task involves unlocking a door after completing the first task.
   - The third task is about reading a note that should happen only after finishing the first two tasks.
   - The final task requires pressing a button, but it doesn't specifically mention when in the order it should be done.
Solving the puzzle using these clues: To complete the tasks without missing any step, the correct order is:
   1. Find Key
   2. Unlock Door
   3. Read Note
   4. Press Button
FINAL_ANSWER: Press_Button_After_Reading_Note</t>
  </si>
  <si>
    <t>16g2</t>
  </si>
  <si>
    <t xml:space="preserve"> The correct order of tasks is as follows:
1. Find Key
2. Unlock Door
3. Read Note
4. Press Button
To connect this to the provided statement 'End with: FINAL_ANSWER: &lt;Answer&gt;', the answer would be:
FINAL_ANSWER: The process of completing all tasks in proper order required for a certain action.</t>
  </si>
  <si>
    <t>16g3</t>
  </si>
  <si>
    <t xml:space="preserve"> 
1. Find Key
2. Unlock Door
3. Read Note
4. Press Button
5. FINAL_ANSWER: &lt;Answer&gt;
To accomplish this, we follow the given steps while making sure no task can be skipped. The tasks are dependent on each other, so we need to follow them in sequential order. After completing all tasks, the final answer should be provided.</t>
  </si>
  <si>
    <t>16s1</t>
  </si>
  <si>
    <t xml:space="preserve"> First, let's translate the relationships in the clues into a structure where each task is connected with a required step:
1. Task: Find Key -&gt; Required step: Before Unlocking Door
2. Task: Unlock Door -&gt; Required step: Before Reading Note
3. Task: Read Note -&gt; Required step: Before Pressing Button
4. Task: Press Button -&gt; No additional requirement mentioned
Now, let's use this information to determine the correct order:
We know that we cannot skip steps. So starting from Task 1 (Find Key), we need to do Task 2 (Unlock Door) after it. We then do Task 3 (Read Note) after Task 2. Finally, Task 4 (Press Button) has no other steps leading to it, so we do it last. 
FINAL_ANSWER: &lt;Answer&gt; = Find Key, Unlock Door, Read Note, Press Button</t>
  </si>
  <si>
    <t>16s2</t>
  </si>
  <si>
    <t xml:space="preserve"> Let's define the tasks as: T1 = Find Key, T2 = Unlock Door, T3 = Read Note, T4 = Press Button. We need to find the dependencies among these tasks. Here are the relationships from the clues:
1. T1&lt;T2 (Find Key comes before Unlock Door)
2. T2&lt;T3 (Unlock Door comes before Read Note)
3. T3&lt;T4 (Read Note comes before Press Button)
4. There is a dependency between all tasks (You cannot skip any step)
Now we'll solve it in a step-by-step manner using these relationships. Since T1 must come before T2, let's start with T1 (Find Key).
1. Find Key (T1) -&gt; Unlock Door (T2) -&gt; Read Note (T3) -&gt; Press Button (T4)
Next, consider the relationship between T2 and T3: T2 must come before T3. So, we will now replace T2 with its previous task (T1), which was Unlock Door. This leads us to the sequence:
1. Find Key (T1) -&gt; Unlock Door (T1) -&gt; Read Note (T3) -&gt; Press Button (T4)
Continuing this way for each task, we eventually end up with the final order of tasks:
FINAL_ANSWER: &lt;Answer&gt; = Find Key, Unlock Door, Unlock Door, Read Note, Read Note, Press Button
The correct order to complete all tasks without skipping any is: Find Key first, then perform Unlock Door twice, Read Note twice, and finally Press Button.</t>
  </si>
  <si>
    <t>16s3</t>
  </si>
  <si>
    <t xml:space="preserve"> In this case, we'll define the relationships as:
1. Finding Key is required before Unlocking Door (pre-task)
2. Unlocking Door is required before Reading Note (pre-task)
3. Reading Note is required before Pressing Button (pre-task)
4. Pressing Button is a final task
Now let's put these relationships together in a logical order. Since each task needs to be completed in sequence but pre-tasks must be done first, the order is as follows:
1. Find Key
2. Prepare for Find Key: (This comes after since it's a prerequisite) Unlock Door
3. Prepare for Unlock Door: Read Note
4. Read Note
5. Prepare for Read Note: Press Button
6. Press Button
After completing these steps, the final answer would be: FINAL_ANSWER: Press Button, Read Note, Unlock Door, Find Key</t>
  </si>
  <si>
    <t>17z1</t>
  </si>
  <si>
    <t>17z2</t>
  </si>
  <si>
    <t>17z3</t>
  </si>
  <si>
    <t>17c1</t>
  </si>
  <si>
    <t>17c2</t>
  </si>
  <si>
    <t>17c3</t>
  </si>
  <si>
    <t>17d1</t>
  </si>
  <si>
    <t>17d2</t>
  </si>
  <si>
    <t>17d3</t>
  </si>
  <si>
    <t>17v1</t>
  </si>
  <si>
    <t>17v2</t>
  </si>
  <si>
    <t>17v3</t>
  </si>
  <si>
    <t>17e1</t>
  </si>
  <si>
    <t>17e2</t>
  </si>
  <si>
    <t>17e3</t>
  </si>
  <si>
    <t>17g1</t>
  </si>
  <si>
    <t>17g2</t>
  </si>
  <si>
    <t>17g3</t>
  </si>
  <si>
    <t>17s1</t>
  </si>
  <si>
    <t>17s2</t>
  </si>
  <si>
    <t>17s3</t>
  </si>
  <si>
    <t>18z1</t>
  </si>
  <si>
    <t>There are three switches: A, B, and C that must be flipped in a specific order to open a trapdoor. Clues: Switch C must be flipped before switch B. Switch A must be flipped before switch B. Switch C is not the first switch. What is the order in which the switches must be flipped?</t>
  </si>
  <si>
    <t xml:space="preserve"> The final order in which the switches must be flipped is: A, C, and then B.</t>
  </si>
  <si>
    <t>18z2</t>
  </si>
  <si>
    <t xml:space="preserve"> The order in which the switches must be flipped is A, C, then B.</t>
  </si>
  <si>
    <t>18z3</t>
  </si>
  <si>
    <t xml:space="preserve"> The order in which the switches must be flipped is: A, C, then B.</t>
  </si>
  <si>
    <t>18c1</t>
  </si>
  <si>
    <t xml:space="preserve"> First, let's analyze the given clues and deduce relationships between the switches. We have three statements about the order of flipping the switches.
1. Switch C must be flipped before switch B. This implies that if we want to flip switch B, it must first be after C has been flipped.
2. Switch A must be flipped before switch B. This statement is similar to the previous one, suggesting that A should come before B.
3. Switch C is not the first switch. We already know that A comes before B, so A must be flipped before C.
Now, let's use this information to create a step-by-step order for flipping the switches. We have to start with the switches mentioned as 'not the first', which is Switch C. Then, we must flip Switch B as it needs to be done after Switch C according to clue 1. Next, we need to flip Switch A because it must happen before both C and B according to clues 2 and 3.
So, the order in which the switches must be flipped is: C, B, and finally A. This sequence ensures that all conditions mentioned in the given clues are met while ultimately unlocking the trapdoor.</t>
  </si>
  <si>
    <t>18c2</t>
  </si>
  <si>
    <t xml:space="preserve"> To determine the correct order in which the switches need to be flipped, we can analyze the given clues and create a sequence based on their importance or relationships. 
Step 1: Analyze clues related to switch B. Since it must be flipped after both switch A and switch C, we can consider it as the middle switch. 
Step 2: Based on the information given about switch C, we know it must be flipped before switch B. So, the sequence should look like this: [A, X, Y, B], where X represents switch C and Y is still unknown. 
Step 3: Now, let's look at the clue regarding switch A. It must be flipped before switch B. As switch B is already in the middle of the sequence, we can insert switch A before it, making the new sequence: [A, X, Y, B, Z]. Switch Z represents another unknown switch for now, since we only have information for switches A, B, and C. 
Step 4: Keeping the previous understanding and looking at the last piece of the puzzle, we know that switch C comes before switch B. We can deduce that switch C has to be between switch A and switch Y. The most suitable place for it would be right before switch Y (switch X) as we have already established that switch B goes after switch A. This makes the sequence as follows: [A, X, C, Y, B, Z]. 
Step 5: Finally, we need to identify the remaining switch Z, which still doesn't have any specific clue or relationship with other switches. We will treat it as an additional step after switch B. The final order in which the switches must be flipped is: [A, X, C, Y, B, Z, W]. Here, W could represent the next switch or some other action required to fully operate the trapdoor system. 
The reasoning behind this conclusion was to create a logical progression of the switches considering all given clues. With this sequence, each switch is flipped according to its importance and necessary sequence in relation to others. However, since we're unsure about what switch Z represents, it's important to note that more information might change the order in the future.</t>
  </si>
  <si>
    <t>18c3</t>
  </si>
  <si>
    <t xml:space="preserve"> To determine the correct order in which the switches should be flipped, we need to follow the given clues and make sure not to contradict any of them. Since the clues provided explicitly mention some specific requirements for switching each pair of switches, we can analyze these one by one.
1. Switch A must be flipped before switch B. This means the sequence of switching should be at least A, B, _ for switches A and B.
2. Switch C must be flipped before switch B. This adds another condition to the ordering constraints and now the sequence for switches C and B should be C, B, _.
3. Switch C is not the first switch. We already know from the previous clue that C comes before B. However, there's still no information about whether it's the very first switch or not. If it's not the first, there must be a switch between A and C.
Now that we've analyzed all the clues, let's arrange the switches according to their correct order while keeping in mind the given conditions:
A (the first switch) -&gt; &lt;some other switch&gt; -&gt; C -&gt; &lt;other switch&gt; -&gt; B (the last switch to be flipped)
Since we don't have enough information to determine the exact identity of the other switches between A and C, we cannot provide a fully precise solution. Nonetheless, we can deduce a general pattern that would meet the requirements: The order could be A, E, C, F, B. Here, E, F, and any potential other switches are unspecified since they do not directly interact with the clues. This is the closest we can get to a valid order without contradicting any of the given clues. Note that different combinations involving the unspecified switches might also work as long as they adhere to the same conditions. The final answer, as mentioned, is not unique due to insufficient information provided.</t>
  </si>
  <si>
    <t>18d1</t>
  </si>
  <si>
    <t xml:space="preserve"> Step 1: Key clues - "Three switches: A, B, and C", "specific order to open trapdoor", "Switch A must be flipped before switch B", "Switch C must be flipped before switch B", "Switch C is not the first switch".
Step 2: Interpret the clues
1. There are three switches, with different names (A, B, and C). We're trying to find their order.
2. They need to be flipped in a specific order for something to happen (open a trapdoor).
3. Switch A should come before Switch B.
4. Similarly, Switch C also comes before Switch B.
5. Switch C cannot be the very first one, but it's not clear about its exact positioning.
Step 3: Combine the clues
We know that Switch C comes before both A and B. Since it can't be the first, it implies that it's between A and B. The order we have then is Switch A, Switch C, and finally Switch B.
FINAL_ANSWER: &lt;Answer&gt; The order in which the switches must be flipped is A, C, B.</t>
  </si>
  <si>
    <t>18d2</t>
  </si>
  <si>
    <t xml:space="preserve"> Step 1: Identifying key clues - A, B, and C are switches, order to flip them, A must be flipped before B, B must be flipped after A but before C, C must be flipped before B. The last part says that C is not the first switch.
Step 2: Interpreting the clues' implications - We can understand these implications by ordering the switches in a line and connecting arrows between them based on when one switch should be flipped compared to another. For example: A -&gt; C &gt; B, meaning A should be flipped before C, which comes before B. The arrow from A to C also shows that C must not be the first switch to flip.
Step 3: Combining the clues to reach a conclusion - By connecting the arrows, we have: A -&gt; C &gt; B. This means the order for flipping the switches is A, then C, and finally B.
FINAL_ANSWER: The order in which the switches must be flipped is A, C, and then B.</t>
  </si>
  <si>
    <t>18d3</t>
  </si>
  <si>
    <t xml:space="preserve"> Step 1: Key clues - Switches A, B, C order, A before B, B before C, C not first.
Step 2: Interpretation - A can't go last, but A before B. We need B, but B after C.
Step 3: Combining clues - If C can't go first, it goes right after A. This leaves B as the middle one. 
Final Answer: &lt;Answer&gt; FINAL_ANSWER: A, C, B</t>
  </si>
  <si>
    <t>18v1</t>
  </si>
  <si>
    <t xml:space="preserve"> Let's solve the problem step by step. We have Switch A, B, and C.
1. Clue says Switch A must be flipped before Switch B. So A comes before B.
2. Clue says Switch C must be flipped before Switch B. So C comes before B.
3. Since we already know C comes before B, it cannot be the first switch (as per clue). Therefore, A is the first switch, followed by C and then B.
FINAL_ANSWER: &lt;Answer&gt; A, C, B</t>
  </si>
  <si>
    <t>18v2</t>
  </si>
  <si>
    <t xml:space="preserve"> Let's analyze the given clues step by step. We need to find the order for A, B, and C.
1. Switch C must be flipped before switch B. This implies that C should come before B, but not necessarily before A.
2. Switch A must be flipped before switch B. This implies that A must be before both C and B.
3. Switch C is not the first switch. We already know A comes before B, so this eliminates the possibility of A being the first switch. It also tells us that C cannot be the second switch.
Now let's put these together and create a possible order. Since A is the first switch to be flipped, then we have A, followed by C and then B. The order would be A, C, B.
FINAL_ANSWER: A, C, B</t>
  </si>
  <si>
    <t>18v3</t>
  </si>
  <si>
    <t xml:space="preserve"> Analyzing the puzzle and clues to find the order of switching switches.
1. Switch A must be flipped before switch B.
2. Switch C must be flipped before switch B.
3. Switch C is not the first switch (it's not directly before switch A).
Considering these rules, a possible solution is to first flip switch A, then switch C, and finally switch B since they both have to come after switch C.
So, the order to flip the switches should be: A, C, B.
FINAL_ANSWER: A, C, B</t>
  </si>
  <si>
    <t>18e1</t>
  </si>
  <si>
    <t xml:space="preserve"> We have the following clues to work with:
1. Switch C must be flipped before switch B.
2. Switch A must be flipped before switch B.
3. Switch C is not the first switch.
Now, let's analyze each clue and reason based on these clues alone.
Clue 1 states that we need to flip Switch C and then Switch B. This means that there must be at least one more switch that needs to be flipped before either of these two. Let's label this hypothetical switch as "X."
Clue 2 tells us that Switch A must be flipped before Switch B, which means that Switch A has to happen before Switch X or Switch Y (Switch B). Therefore, it might have happened even before Switch C.
Taking into account Clue 3, Switch C cannot be the very first switch to be flipped since it is mentioned explicitly in the clue. This disqualifies it from being Switch X as it would become impossible to achieve the correct order using only these three switches.
Given our reasoning thus far, we can understand that the order of flipping these switches could be something like A, C, X, B, where X is another switch that hasn't been specified.
FINAL_ANSWER: The order in which the switches must be flipped is A, C, &lt;another unspecified switch&gt;, X, B.</t>
  </si>
  <si>
    <t>18e2</t>
  </si>
  <si>
    <t xml:space="preserve"> Clues provided:
1. Switch C must be flipped before switch B.
2. Switch A must be flipped before switch B.
3. Switch C is not the first switch.
Reasoning: Since switching C comes before B, it's clear that A must come before both C and B. The third clue suggests that C isn't the first, so we can deduce that A must be the very first switch to be flipped. Now, since A has already been flipped and it's before B, this implies that B comes next, followed by C. Therefore, the order of switching the switches is: A, B, C. FINAL_ANSWER: &lt;Answer&gt; A, B, C</t>
  </si>
  <si>
    <t>18e3</t>
  </si>
  <si>
    <t xml:space="preserve"> We have the following clues provided:
1. Switch C must be flipped before switch B.
2. Switch A must be flipped before switch B.
3. Switch C is not the first switch.
We need to determine the order in which we should flip A, B, and C to unlock the trapdoor. Let's consider these clues one by one:
1. Since Switch C should be flipped before Switch B, this means we'll have an order like C-B.
2. From clue 2, we know Switch A needs to be flipped before Switch B. So it has to come even earlier than B. This implies a possible order of A-C-B.
3. Clue 3 states that Switch C is not the first. If it's not the first switch, this would mean it might be the second or third in the given order. Considering the previous orders, our options now are A-C-B (which doesn't match the given order) or A-B-C (where A is the first, followed by B then C).
Since we can't have both A-C-B and A-B-C as valid options based on the clues given, we can deduce that FINAL_ANSWER: The order in which the switches must be flipped is A-B-C.</t>
  </si>
  <si>
    <t>18g1</t>
  </si>
  <si>
    <t xml:space="preserve"> 
1. Copy clues - There are three switches: A, B, and C that must be flipped in a specific order to open a trapdoor. Clues: Switch C must be flipped before switch B. Switch A must be flipped before switch B. Switch C is not the first switch.
2. Interpret clues - Switch C is after B but before A, so the order should have C, followed by B, and then A.
3. Solve the puzzle - The order in which the switches must be flipped is: &lt;FINAL_ANSWER: C, B, A&gt;</t>
  </si>
  <si>
    <t>18g2</t>
  </si>
  <si>
    <t xml:space="preserve"> Analyzing the clues given:
1. Switch C must be flipped before Switch B.
2. Switch A must be flipped before Switch B.
3. Switch C is not the first switch.
From point 1 and point 2, we can infer that only Switches A and B require flipping before Switch B. From point 3, it's clear that Switch C should come after Switch A, implying that there are two stages of flipping switches - one involving Switch A and another involving Switches A, B, and C sequentially.
The final sequence for flipping the switches:
Stage 1: Flip A
Stage 2: Flip C, then B
FINAL_ANSWER: &lt;Answer&gt; &lt;Flip A, then C and finally B&gt;</t>
  </si>
  <si>
    <t>18g3</t>
  </si>
  <si>
    <t xml:space="preserve"> 
1. Clue: There are three switches: A, B, and C that must be flipped in a specific order to open a trapdoor.
2. Clue: Switch C must be flipped before switch B.
3. Clue: Switch A must be flipped before switch B.
4. Clue: Switch C is not the first switch.
Interpretation: We have three switches A, B, and C. To open the trapdoor, they need to be flipped in a specific order, but each clue provides some information on the order in which they should be flipped. We'll find the correct order by analyzing each clue and considering the constraints given.
From clue 2, we know that switch C must be flipped before switch B. So, their order is C-B.
From clue 3, we know that switch A must be flipped before switch B. This means we have a new potential order of A-C-B.
Now, let's consider the constraint mentioned in clause 4, stating that switch C is not the first switch to be flipped. Since we already have a possible order of A-C-B, it suggests that A should not be right after switch C. In this case, the order would be A-first (some other switch)-C-B.
We still need to determine the 'first' switch or the place of switch A in the sequence. Since we do not have any clue that explicitly mentions the 'first' switch, we can only make an assumption. We'll assume that the 'first' switch is a neutral one that has no preference for any of the other switches.
In conclusion, with these interpretations, there are various possible orders depending on the 'first' switch. The FINAL_ANSWER: &lt;Answer&gt; will remain unsolved as it needs further specificity on the initial 'first' switch to make it unique.</t>
  </si>
  <si>
    <t>18s1</t>
  </si>
  <si>
    <t xml:space="preserve"> First, let's create a set of relationships based on the clues given. Then we'll find the final relationship sequence.
1. A&lt;C (switch C must be flipped before switch B)
2. A&lt;B (switch A must be flipped before switch B)
3. A!=F (Switch A is not the first switch)
Now, let's find the solution by arranging the relationships in the correct order. If there are multiple solutions, we will consider the simplest one.
Possible orders:
A-&gt;C, A-&gt;B (A is the first)
A-&gt;C, B-&gt;A (not an option as C comes after A)
C-&gt;A, A-&gt;B (not an option as A comes before C)
C-&gt;A, B-&gt;A (not an option as C comes before A)
The only order that satisfies all the conditions is A-&gt;C-&gt;B. So, FINAL_ANSWER: &lt;A,C,B&gt;</t>
  </si>
  <si>
    <t>18s2</t>
  </si>
  <si>
    <t xml:space="preserve"> First let's build the relationships. We have these constraints:
1. A is left of B -&gt; A&lt;B (A has to be flipped before B)
2. C is left of B -&gt; C&lt;B (C has to be flipped before B)
3. C is not the first switch -&gt; A&lt;C (A has to be flipped before C)
Now let's solve it using the given structure. To find the common pattern for the switches, we can use their relative positions in the order (their placement in the sequence). In this case, since A is left of both C and B, it should be placed first, then either A&lt;C or A&lt;B, finally B&lt;C.
We know A&lt;C as per constraint 3, so the final order should be: A&lt;C&lt;B&lt;C
FINAL_ANSWER: &lt;Answer&gt; = A, C, B, C</t>
  </si>
  <si>
    <t>18s3</t>
  </si>
  <si>
    <t xml:space="preserve"> Construct relationships between switches:
A &lt; B (Switch A must be flipped before Switch B)
C &lt; B (Switch C must be flipped before Switch B)
A &lt; C (Switch A must be flipped before Switch C)
C != A (Switch C is not the first switch)
Solve the puzzle using structured relationships:
Since Switch C must be flipped before both A and B and A must be flipped before B, it shows a priority order: C -&gt; A -&gt; B. The relationship C != A indicates that C should not be the first switch, so we can deduce that the final order should include a switch between C and A. Combining the relationships with the priority, we get the answer: FINAL_ANSWER: &lt;C, A, B&gt;</t>
  </si>
  <si>
    <t>19z1</t>
  </si>
  <si>
    <t>You must enter four codes into a panel in the correct order. The codes are: Red, Blue, Green, and Yellow. Clues: Red is entered before both Green and Yellow. Blue is not entered first. Yellow is entered after Green. Blue is entered immediately before Yellow. What is the correct order of codes?</t>
  </si>
  <si>
    <t xml:space="preserve"> The correct order of codes is Red, Blue, Green, Yellow.</t>
  </si>
  <si>
    <t>19z2</t>
  </si>
  <si>
    <t xml:space="preserve"> The final answer is: Red, Blue, Green, Yellow.</t>
  </si>
  <si>
    <t>19z3</t>
  </si>
  <si>
    <t>19c1</t>
  </si>
  <si>
    <t xml:space="preserve"> Let's analyze each clue to deduce the correct order of the codes:
1. Red is entered before both Green and Yellow. This indicates that Red should come somewhere between the beginning and Yellow. It could be either right after the start or in between Blue and Yellow. We can't determine this yet.
2. Blue is not entered first. This implies it comes after Red but before Yellow. So, the order should be something like Red, Blue, (Green), Yellow. The parenthesis for Green implies it's unclear if Green is between Red and Blue or before/after Yellow.
3. Yellow is entered after Green. With this clue, we know for sure that Yellow should follow Green. If it were between Red and Blue, Green would have been mentioned as the last one in that case. Therefore, the order so far would likely be Red, Blue, Green, Yellow.
4. Blue is entered immediately before Yellow. This confirms Blue's position just before Yellow, so the final order would be: Red, Blue, Green, Yellow.
Final answer: The correct order of codes is Red, Blue, Green, Yellow. The reasoning was based on the clues given which provided information about the relationship between the codes and their respective positions in the sequence.</t>
  </si>
  <si>
    <t>19c2</t>
  </si>
  <si>
    <t xml:space="preserve"> To solve this puzzle, we will analyze each clue and use it to establish the order of the codes. 
1. "Red is entered before both Green and Yellow." This tells us that Red should be the first code entered.
2. "Blue is not entered first." This contradicts the previous clue as it specifies that Red should be the first one. We will assume that Blue is entered second.
3. "Yellow is entered after Green." This is clear, as Green should come before Yellow. But because we don't have an indication on which one comes before Blue, we will place Green either before or after Blue (Temporarily not affecting the overall solution). 
4. "Blue is entered immediately before Yellow." This provides us with a specific rule about the order of Blue and Yellow. This means Blue comes before Yellow but after Red, as we already know Red is the first code. 
Now let's put together all these clues. We have established the following sequence: Red -&gt; Blue -&gt; Green (either before or after Blue) -&gt; Yellow. Since the options for placing Green and Blue still maintain the same order (Red-Blue-Green-Yellow or Red-Green-Blue-Yellow), we can't determine the exact order without more information. However, considering the given clues, any of these orders would satisfy the conditions given. 
The final answers could be: Red-Blue-Green-Yellow, Red-Green-Blue-Yellow. But since the original puzzle doesn't provide enough information to definitively state the correct order, we can only make an educated guess based on the available clues.</t>
  </si>
  <si>
    <t>19c3</t>
  </si>
  <si>
    <t xml:space="preserve"> To solve this puzzle, let's break down each clue to understand how the code sequence should form.
1. Red is entered before both Green and Yellow.
We know that Red must come first or at least before Green and Yellow.
2. Blue is not entered first.
Blue cannot be the first one but should follow Red as it's not entered directly after Red. Let's consider that Green will be the next one. 
3. Yellow is entered after Green.
We can be sure that Green comes before Yellow.
4. Blue is entered immediately before Yellow.
This clue helps us find the position of Blue, which should be just before Yellow. So, we have Blue between Green and Yellow.
Now, let's combine these relationships to deduce the correct order. We have Red, which comes first or before the others. Next, we have Blue, which follows Red and comes before Yellow. After that, Green must be entered, followed by Yellow which comes last.
The final answer for the correct order of codes is: Red, Blue, Green, Yellow. This arrangement fulfills all given clues while maintaining the logical flow required in entering the codes into the panel.</t>
  </si>
  <si>
    <t>19d1</t>
  </si>
  <si>
    <t xml:space="preserve"> Step 1: Key clues in the puzzle - Red, Blue, Green, Yellow; Red, Blue, Green, Yellow again (Red is entered before both Green and Yellow); Blue, Blue (Blue is not entered first); Yellow, Blue (Yellow is entered after Green, Blue is entered immediately before Yellow).
Step 2: Interpret what each clue implies - The four colors represent the codes. The given relationships can be seen as follows: Red is not between Blue or Yellow. Blue comes before either Red or Yellow. Green is between Red and Yellow. Yellow comes between Green and Blue.
Step 3: Combine the clues to reach a conclusion. Given the relationships, we can form a sequence where Red is before Green which is before Yellow and then Blue is before Yellow. Therefore, the correct order of codes is: &lt;Red, Green, Yellow, Blue&gt;.
FINAL_ANSWER: Answer: Red, Green, Yellow, Blue</t>
  </si>
  <si>
    <t>19d2</t>
  </si>
  <si>
    <t xml:space="preserve"> Step 1: Key clues - Red is entered before both Green and Yellow, Blue is not entered first, Yellow is entered after Green, Blue is entered immediately before Yellow.
Step 2: Interpret clues: Red is likely after Blue.
Blue is after neither Red nor Yellow.
Green is between Red and Yellow.
Yellow is between Blue and Green.
Step 3: Combine clues to reach a conclusion: We have Red, Blue, Green, and Yellow. Since Blue is not first and Yellow is not last, we can eliminate them from being first and last in the sequence. As it's mentioned that Red comes before Green and Green comes before Yellow, we can place them in that order. Now we are left with Red, Green, Yellow, and Blue. Since Blue is entered before Yellow, we can swap positions of Blue and Yellow.
Final Answer: FINAL_ANSWER: &lt;Red, Green, Yellow, Blue&gt;</t>
  </si>
  <si>
    <t>19d3</t>
  </si>
  <si>
    <t xml:space="preserve"> Step 1: Identify all key clues in the puzzle.
   - Four codes
   - Red, Blue, Green, and Yellow
   - Red before Green and Yellow
   - Blue not first
   - Yellow after Green
   - Blue before Yellow
Step 2: Interpret what each clue implies.
   - The order of colors does not indicate their position on a color wheel. It focuses on their sequence in the panel.
   - Red comes before Green and Yellow.
   - Blue doesn't come first, but is between Red and Yellow.
   - Yellow comes directly after Green.
   - Blue comes just before Yellow.
Step 3: Combine the clues to reach a conclusion.
   - From Red's position, it's clear that it cannot be the last code.
   - Considering the relationship between Blue and Yellow, we can infer that they are more likely to be together rather than separated by Green.
   - If we put Blue immediately before Yellow, it fulfills both clues about them being together and Blue not coming first.
   - This leaves Red and Green. Since Red is before both of these, it implies Red should come first.
FINAL_ANSWER: &lt;Answer&gt; The correct order of codes is: Red, Blue, Green, Yellow.</t>
  </si>
  <si>
    <t>19v1</t>
  </si>
  <si>
    <t xml:space="preserve"> To solve the puzzle, let's use the given clues to find the relationships between the codes and their relative positions.
1. Red is entered before both Green and Yellow.
2. Blue is not entered first.
3. Yellow is entered after Green.
4. Blue is entered immediately before Yellow.
Based on these clues, we can deduce some positions:
- Red goes first (before Green and Yellow)
- Green comes between Red and Blue (as Red comes before it) and Yellow (after it, according to Yellow's position)
- Blue comes after Red and before Yellow
- Yellow comes after Green and Blue
Now, let's arrange the codes in this order:
FINAL_ANSWER: Red, Green, Blue, Yellow
Checking our solution with the given clues:
- Red is before both Green and Yellow (Clue 1), which is true.
- Blue is not entered first (Clue 2), so it's not before Red (true).
- Yellow is entered after Green (Clue 3), which is true.
- Blue is entered immediately before Yellow (Clue 4), which is true as it is placed just before Yellow in our solution.
All the clues have been satisfied by our reasoning, so the correct order of codes is indeed: Red, Green, Blue, Yellow.
FINAL_ANSWER: Red, Green, Blue, Yellow</t>
  </si>
  <si>
    <t>19v2</t>
  </si>
  <si>
    <t xml:space="preserve"> Solving the puzzle: We need to find the correct order of the four colors - Red, Blue, Green, and Yellow. We have clues given which limit the possibilities.  
1. Red is entered before both Green and Yellow.
2. Blue is not entered first.
3. Yellow is entered after Green.
4. Blue is entered immediately before Yellow.
Now let's use these clues to deduce the order: Since red comes before green and yellow, we can safely put red at the starting point. Now, since blue is not entered first, it would be placed in between red and green or between green and yellow. Given that yellow is after green and blue is before yellow, we can place blue between red and green. So the possible order could be Red-Blue-Green-Yellow. However, this doesn't fully fulfill the rule "Red is entered before both Green and Yellow." We need to find an alternative order. Since red comes before green and yellow but doesn't have a specific order between blue and green, we can interchange blue and green, making the new order Red-Green-Blue-Yellow. This new order fulfills all rules mentioned.
Final Answer: FINAL_ANSWER: Red-Green-Blue-Yellow</t>
  </si>
  <si>
    <t>19v3</t>
  </si>
  <si>
    <t xml:space="preserve"> Analyzing the puzzle and clues step by step:
1. Red is entered before both Green and Yellow.
2. Blue is not entered first.
3. Yellow is entered after Green.
4. Blue is entered immediately before Yellow.
From clue 1, we know that the order between Red, Green, and Yellow has been determined: Green will be in the middle and Yellow will be last, so the sequence becomes "Red-Green-Yellow". We can also place Red before Green and Yellow.
Clue 2 tells us that Blue should not come first. So Blue cannot be either at the beginning or the end. It should be placed somewhere between the already established positions of Red, Green, and Yellow.
Now, we have to arrange Blue in a place where it doesn't come first. The only remaining spot is between Red and Green. This gives us the correct order: Red-Blue-Green-Yellow.
Final answer: FINAL_ANSWER: Red-Blue-Green-Yellow</t>
  </si>
  <si>
    <t>19e1</t>
  </si>
  <si>
    <t xml:space="preserve"> Clues: Red is entered before both Green and Yellow. Blue is not entered first. Yellow is entered after Green. Blue is entered immediately before Yellow.
1. Red cannot be entered last because it is entered before Green and Yellow.
2. Blue can't be the first code since it isn't entered first but comes before Yellow.
3. Green should come after Red because it is entered after Red and before Yellow.
4. Yellow should be placed right before Green since it is entered after Green.
FINAL_ANSWER: &lt;Red, Blue, Green, Yellow&gt;</t>
  </si>
  <si>
    <t>19e2</t>
  </si>
  <si>
    <t xml:space="preserve"> We have the following clues:
1. Red is entered before both Green and Yellow.
2. Blue is not entered first.
3. Yellow is entered after Green.
4. Blue is entered immediately before Yellow.
Let's start analyzing the clues step by step. We can understand from clue 1 that Red should come before Green and Yellow. From clue 2, Blue doesn't come first, so it must be between Red and Green. From clue 3, we know Yellow comes after Green. Finally, from clue 4, Blue comes just before Yellow.
Considering these relationships, let's deduce a possible order: Since Blue is not entered first, then it might come after Red, making the sequence Red-Blue-Green-Yellow. The last clue tells us that Blue is entered just before Yellow, which implies that we can switch Green and Yellow for the final order.
So, the correct order of codes is Red-Blue-Green-Yellow. FINAL_ANSWER: &lt;Red-Blue-Green-Yellow&gt;</t>
  </si>
  <si>
    <t>19e3</t>
  </si>
  <si>
    <t xml:space="preserve"> The given clues are: Red is entered before both Green and Yellow. Blue is not entered first. Yellow is entered after Green. Blue is entered immediately before Yellow.
Reasoning: We start with what we know about the position of each code. Red is entered before Green and Yellow, which implies it should be placed first. From this point, we know Yellow comes after Green because it's mentioned separately. Now, we only have to figure out the order of Blue, considering that it's entered before Yellow but not first. Since Yellow is placed last and Blue has to come before Yellow, it can only either be placed before Red or after Green. Given there are no other conditions for placing Blue, we conclude this could be one possible ordering: Red, Blue, Green, Yellow.
FINAL_ANSWER: &lt;Answer&gt; Red, Blue, Green, Yellow</t>
  </si>
  <si>
    <t>19g1</t>
  </si>
  <si>
    <t xml:space="preserve"> Red is entered before both Green and Yellow. This tells us that Red should be entered first and then followed by Green and Yellow. Blue is not entered first. We know this because it's not the first code being entered. Blue is entered immediately before Yellow. It should be noted that Blue is placed right before Yellow but comes later than Red, Green, and Yellow as we have learned from previous points. In summary, the correct order of codes would be Red, Green, Blue, Yellow, which ends with FINAL_ANSWER: RGBY.</t>
  </si>
  <si>
    <t>19g2</t>
  </si>
  <si>
    <t xml:space="preserve"> 1. Clue list: Red is entered before both Green and Yellow. Blue is not entered first. Yellow is entered after Green. Blue is entered immediately before Yellow.
2. Interpretation: This means the following sequence should be followed - Red comes first, then Blue, then Green, and finally Yellow.
3. Solving using only clues: Red (First), Blue (after Red), Green (after Blue), Yellow (after Green) =&gt; Order: Red, Blue, Green, Yellow. END ANSWER: Red,Blue,Green,Yellow</t>
  </si>
  <si>
    <t>19g3</t>
  </si>
  <si>
    <t xml:space="preserve"> 
1. Red is entered before both Green and Yellow.
2. Blue is not entered first.
3. Yellow is entered after Green.
4. Blue is entered immediately before Yellow.
Using all the clues, we can deduce that the order should be something like this:
- Blue comes before Yellow (not first) -&gt; Blue is second.
- Yellow comes after Green (which is not mentioned to come later than anything else) -&gt; Yellow is third.
- Red is entered before both Green and Yellow (so it has to come before the combined group of Green and Yellow) -&gt; Red is first.
- Green comes between Red and Yellow (so it must follow Red) -&gt; Green is fourth.
FINAL_ANSWER: &lt;Answer&gt; Red, Blue, Yellow, Green</t>
  </si>
  <si>
    <t>19s1</t>
  </si>
  <si>
    <t xml:space="preserve"> Translating the puzzle into structured relationships:
1. Red&lt;Blue
2. Blue&lt;Yellow
3. Red&lt;Green
4. Green&lt;Yellow
5. Yellow&lt;Red
Solving the puzzle using this structure:
Step 1: Identify the given conditions. We need to find the correct order of the codes while keeping in mind relationships among them.
Step 2: Use the relationships to deduce possible orders. Let's try different combinations.
Step 3: Rule out unfeasible orders that contradict existing relationships.
Step 4: Find the final answer that satisfies all relationships. In this case, it is: RBYG (Red, Blue, Yellow, Green) which follows all given relationships.
FINAL_ANSWER: &lt;RBYG&gt;</t>
  </si>
  <si>
    <t>19s2</t>
  </si>
  <si>
    <t xml:space="preserve"> Let's analyze the clues in terms of relationships for easier understanding.
1. Red is entered before both Green and Yellow. (Red &lt; Green, Red &lt; Yellow)
2. Blue is not entered first. (Not Blue &lt; Red)
3. Yellow is entered after Green. (Yellow &gt; Green)
4. Blue is entered immediately before Yellow. (Blue &lt; Yellow)
Now, let's find the relationships between all codes:
- Red &lt; Blue (since Not Blue &lt; Red)
- Red &lt; Green
- Red &lt; Yellow
- Blue &lt; Yellow
- Yellow &gt; Green
The FINAL_ANSWER should be arranged based on these relationships. Let's start from the beginning and follow the relationships step by step.
1. Enter the first code, which is "Red" because it has to come before any other color.
2. Next, we should enter "Green" since Red comes before Green.
3. Now, we can enter "Blue" as it needs to come after Red and before Yellow.
4. Lastly, "Yellow" should be placed as it is connected directly with Blue and comes after Green.
FINAL_ANSWER: &lt;Red, Green, Blue, Yellow&gt;</t>
  </si>
  <si>
    <t>19s3</t>
  </si>
  <si>
    <t xml:space="preserve"> Create relationships between codes:
1. Red is entered before both Green and Yellow: Red&lt;Green, Red&lt;Yellow
2. Blue is not entered first: Not Red&lt;Blue, Not Green&lt;Blue, Not Yellow&lt;Blue
3. Yellow is entered after Green: Green&lt;Yellow
4. Blue is entered immediately before Yellow: Blue&lt;Yellow
Now, we have all relationships represented as a simplified order:
FINAL_ANSWER: &lt;Red, Not Red, Not Green, Not Yellow, Green, Blue, Yellow&gt;
Solving the puzzle using this structure:
The final answer is: &lt;Red, Blue, Green, Yellow&gt;</t>
  </si>
  <si>
    <t>20z1</t>
  </si>
  <si>
    <t>Four people Anna, Ben, Cara, and Drew sit on a bench with spots numbered from 1 to 4 from left to right. No two people can share a seat. Clues: Anna sits somewhere to the left of Ben. Cara does not sit on an end seat. Drew sits immediately to the right of Cara. Ben does not sit in seat 2. Anna does not sit in seat 3. From left to right, what is the seating order?</t>
  </si>
  <si>
    <t xml:space="preserve"> The seating order (from left to right) is: Drew, Cara, Ben, Anna.</t>
  </si>
  <si>
    <t>20z2</t>
  </si>
  <si>
    <t xml:space="preserve"> The final answer for the seating order from left to right is: Anna, Ben, Drew, Cara.</t>
  </si>
  <si>
    <t>20z3</t>
  </si>
  <si>
    <t xml:space="preserve"> The final answer is: Anna, Ben, Cara, Drew.</t>
  </si>
  <si>
    <t>20c1</t>
  </si>
  <si>
    <t xml:space="preserve"> To find the seating arrangement, let's use the given clues step-by-step and eliminate possible scenarios.
1. We know that Anna sits somewhere to the left of Ben. This means she will be either on seat 1 or seat 2. Since Anna isn't in seat 3, this leaves her on either seat 1 or seat 2. Let's consider both options separately.
   A. If Anna is on seat 1, Ben can be on seat 3 (as he can't be on seat 2), and Cara can take either seat 4 or 3. Drew must sit on seat 5, because it's the only spot left to the right of Cara. Therefore, one possible seating arrangement could be [Anna (1), Ben (3), Cara (4 or 3), Drew (5)].
   B. If Anna is on seat 2, Ben can be on either seat 1 or 3, and there are two scenarios:
        - Ben is on seat 1, so Cara is on seat 3 and Drew on seat 5. The seating order would be [Anna (2), Ben (1), Cara (3), Drew (5)].
        - Ben is on seat 3, so Cara is on seat 1 and Drew on seat 4. This time, the seating order would be [Anna (2), Ben (3), Cara (1), Drew (4)].
2. Cara cannot sit on an end seat, which means she is not on seats 1 or 4. From the previous analysis, we have already determined Cara's possible seating positions for different scenarios.
3. Drew sits immediately to the right of Cara. From the possible seating arrangements, we know Drew's position relative to Cara but don't know their exact seats yet.
4. To finalize the seating order, we need to ensure that Ben does not sit in seat 2. From the first scenario (A), when Anna is on seat 1, Ben cannot be on seat 2. So, the mentioned seating arrangement [Anna (1), Ben (3), Cara (4 or 3), Drew (5)] is valid</t>
  </si>
  <si>
    <t>20c2</t>
  </si>
  <si>
    <t xml:space="preserve"> To find the seating order, let's analyze the clues one by one and eliminate possible positions for each person until there are no more options left.
1. Anna sits to the left of Ben. This tells us that Ben cannot be in the seats before Anna (1 or 2), and he cannot be in seat 3 since Anna is not there. He must be in either seat 4 or between seats 4 and Drew.
2. Cara does not sit on an end seat. She cannot be in seat 1 or 4. This leaves her options as seats 2 or 3.
3. Drew sits immediately to the right of Cara. With the only option left for Cara being seat 3, it means Drew can only sit in seat 4.
4. Ben cannot be in seat 2, so we have confirmed his position as either in seat 1 or in between Cara and Drew. Since Ben cannot share a seat with anyone else, he must be in seat 1.
5. Anna does not sit in seat 3, which confirms she is either in seat 1 or 2. Since Ben is in seat 1, she must be in seat 2.
6. Finally, we must place Cara and Drew based on their previous positions. Cara is in seat 3, and Drew is in seat 4.
The seating order from left to right is: Cara (3), Anna (2), Ben (1), Drew (4).</t>
  </si>
  <si>
    <t>20c3</t>
  </si>
  <si>
    <t xml:space="preserve"> Let's analyze each clue step-by-step and deduce who sits where:
1. Anna sits somewhere to the left of Ben. Since Ben doesn't sit in seat 2, we can assume he's in seat 3 or seat 4. This makes Anna's possible positions 1, 2, or 4.
2. Drew sits immediately to the right of Cara, who we know is not at an end seat (1 or 4). So, Drew should be at the end (seat 2) or the seat in between the other two (seat 3).
3. Cara is not sitting on an end seat which means she could be in seat 2 or seat 3. However, since Drew is also in one of these positions (either 2 or 3), we need to eliminate Cara's possibility for that seat. Therefore, Cara must be in seat 2.
4. Now let's check the remaining people and their positions. Since Ben isn't in seat 2, he must be in either seat 3 or seat 4. Anna's final position must also be one of those three available seats (1, 2, 3, or 4) but not where we have already placed someone.
5. We know that Anna can't be in seat 2 as it's taken by Cara. Seat 4 would put her next to Ben which contradicts the initial assumption. So, the only possible seating arrangement is: Anna in seat 1, Ben in seat 3, Cara in seat 2, and Drew in seat 4.
Final answer: Anna, Ben, Cara, and Drew sit from left to right in the order of Anna-Ben-Cara-Drew.</t>
  </si>
  <si>
    <t>20d1</t>
  </si>
  <si>
    <t xml:space="preserve"> Step 1: Key clues: Anna, Ben, Cara, and Drew are on a bench with seat numbers 1 to 4. Anna sits to the left of Ben, Cara doesn't sit on an end seat, Drew sits next to Cara (on her right), Ben doesn't sit in seat 2, Anna doesn't sit in seat 3.
Step 2: Interpret what each clue implies:
- Ben is somewhere between Cara and Anna (since he doesn't sit in seat 2 or 3)
- Cara can't be on the ends (seats 1 or 4) but she can be on seats 2 or 3
- Drew is between Cara and Ben, which means he can only occupy seats 2 or 3
- Anna can be on seats 1 or 4 as long as it's not next to Ben or Drew
Step 3: Combine the clues to reach a conclusion:
- Ben can't sit in seat 2 or 3, so he will be on seat 1.
- Drew can't sit in seat 1 or 4, so he will be in seat 2.
- There are two remaining spots for Anna, either seat 1 (left of Ben) or seat 4 (right of Ben). If we place Anna in seat 1, then Cara must be in seat 2 (Drew's spot) to avoid sharing a seat. However, if we place Anna in seat 4, then Cara needs to be in seat 4 as well (to avoid sharing a seat with Anna and Ben). This leads to contradictory situations as we cannot have both Cara and Drew sitting in seat 2.
The puzzle has a lack of information, making it impossible to determine the exact seating order. To make it work, more clues about Anna's position would be needed. As it stands now, there's no definitive arrangement.</t>
  </si>
  <si>
    <t>20d2</t>
  </si>
  <si>
    <t xml:space="preserve"> Step 1: Identify all key clues in the puzzle.
- Four people: Anna, Ben, Cara, and Drew
- Seats numbered from 1 to 4 left to right
- No two people can share a seat
- Anna sits to the left of Ben
- Cara does not sit on an end seat
- Drew sits immediately to the right of Cara
- Ben does not sit in seat 2
- Anna does not sit in seat 3
Step 2: Interpret what each clue implies.
- Left to right: Seats go from 1 to 4 and 1 is leftmost.
- Anna to the left of Ben: Anna should be to the left of Ben, so she cannot be at any seat between 2 and 4. She could be at seats 1 or 2.
- Cara not on an end seat: This means that Cara cannot be at seats 1 or 4.
- Drew to the right of Cara: Drew is to the right of Cara, so he must be at a seat after hers (3 or 4).
- Ben not in seat 2: This eliminates seat 2 for Ben.
- Anna not in seat 3: This eliminates seat 3 for Anna.
Step 3: Combine the clues to reach a conclusion.
- Anna cannot be in seats 2 or 3 (Ben also can't be in seat 2).
- Cara cannot be in seats 1 or 4.
- Drew can only be in seats 3 or 4.
- In order to have no sharing of seats, we need to avoid placing people one behind the other at the same distance (i.e., filling seats one by one like 1-2-3-4).
- Since there are three possible seating arrangements without violating the constraints given, we pick one that follows the pattern Anna-Cara-Drew-Ben from left to right, with Anna in seat 1, Cara in seat 3, Drew in seat 4, and Ben in seat 2.
FINAL_ANSWER: &lt;Answer&gt; Anna-Cara-Drew-Ben</t>
  </si>
  <si>
    <t>20d3</t>
  </si>
  <si>
    <t xml:space="preserve"> Step 1: Key clues - 
1. Anna sits to the left of Ben
2. Cara doesn't sit on an end seat
3. Drew sits to the right of Cara
4. Ben doesn't sit in seat 2
5. Anna doesn't sit in seat 3
Step 2: Interpret what each clue implies
1. Anna is sitting between Ben and someone else
2. There are two seats between Cara and the ends
3. The gap between Cara and Drew is one seat
4. Ben is excluded from one specific spot (seat 2)
5. Anna also can't be in another specific spot (seat 3)
Step 3: Combining the clues to reach a conclusion
Considering all constraints, we can start from the back and move towards the front:
From left to right, Ben cannot sit in seat 2. However, he must occupy either seat 1 or seat 4. Let's assume he takes seat 1 for now. If this happens, then Anna can't occupy seat 3 as it's already claimed by Ben. Hence, she can only sit on either seat 1 or seat 2. To avoid sharing her seat with Ben, let's place her on seat 1. This leaves Ben on seat 4.
Now, Cara can take any of the remaining seats that aren't the ends. So, she can be on seat 3 or seat 4. We must avoid placing her next to Drew as they can't share a seat. So, let's place Cara on seat 3, leaving Drew on seat 4.
Final Answer: FINAL_ANSWER: &lt;Anna, Ben, Cara, Drew&gt;</t>
  </si>
  <si>
    <t>20v1</t>
  </si>
  <si>
    <t xml:space="preserve"> First, we'll analyze the clues to determine who can possibly sit where.
1. Anna sits somewhere to the left of Ben: Since Ben is mentioned to be between Anna and another person (Cara), he cannot be the one to the left of her. Therefore, we'll consider two possibilities for Anna - either she sits next to Ben or to the far left.
2. Cara does not sit on an end seat: Since there are only two spots remaining (1 or 4) for Cara, and we know she doesn't occupy seats 1 or 3, she must be in seat 4.
3. Drew sits immediately to the right of Cara: There's only one place left, which is to the right of seat 4 - seat 5. So, Drew sits in seat 5.
4. Ben does not sit in seat 2: Ben can't be in seat 1 since it's already taken by someone to the left of him (Anna). He also can't be in seat 3 since that's occupied by Anna. This means Ben should take one of the remaining seats, either 4 or 6. Let's analyze the other conditions.
5. Anna does not sit in seat 3: Since we've already placed Anna to the left of Ben, this rule is satisfied.
Now, let's arrange the people according to these clues. From left to right, the seating order would be: &lt;Anna, Ben (either 4 or 6), Cara (4), Drew (5)&gt;. The final answer considering both possible options for Ben's position is: FINAL_ANSWER: &lt;Anna, Drew, Cara, Ben (4 or 6)&gt;</t>
  </si>
  <si>
    <t>20v2</t>
  </si>
  <si>
    <t xml:space="preserve"> First solution: Anna at 1, Ben at 4, Cara at 3, Drew at 2
Reasoning for first solution: Anna and Ben don't have specific places they can't be, so we placed them at 1 and 4. Cara can't sit at an end seat, so she's not at 1, 2, or 4. Placing her at 3 leaves the last spot for Drew who has to sit next to Cara, making him at 2.
Checking all clues:
1. Anna is to the left of Ben, which is true.
2. Cara doesn't sit on an end seat, which is true.
3. Drew sits immediately to the right of Cara, which is true.
4. Ben doesn't sit in seat 2, but in our case, he's at 4, not 2, and it's correct.
5. Anna doesn't sit in seat 3, which is true.
FINAL_ANSWER: &lt;Anna, Ben, Cara, Drew&gt;</t>
  </si>
  <si>
    <t>20v3</t>
  </si>
  <si>
    <t xml:space="preserve"> Let's solve this step by step using the clues provided.
Step 1: Identify the given information - people (Anna, Ben, Cara, Drew), and numbered seats.
Step 2: Use clue 1 - Anna is to the left of Ben. So, either Anna will be on seat 1 or seat 2, but not 3 or 4 because Ben cannot be in seat 2 and Anna cannot be in seat 3.
Step 3: Since Anna cannot be in seat 3, let's place her in seat 2. This will leave seat 1 for Ben, making sure Ben doesn't occupy seat 2.
Step 4: Use clue 2 - Cara doesn't sit on an end seat. As there are only two end seats (1 and 4), we can exclude seats 1 and 4 from Cara's potential seating positions.
Step 5: Since Drew has to sit immediately to the right of Cara, Drew can be in seat 3 or 4, with Cara in one of the two remaining seats (1 or 2). If Cara is in seat 1, then Drew would have to be in seat 4. If Cara is in seat 2, then Drew would have to be in seat 3.
Step 6: Use clue 3 - Ben is not in seat 2. We already placed him in seat 1 earlier.
Step 7: Use clue 4 - Anna is not in seat 3. We placed her in seat 2.
Step 8: Now, let's check whether our reasoning satisfies all the given clues.
Step 9: The bench now has seating as follows: Seat 1 (Ben), Seat 2 (Anna), Seat 3 (Drew), Seat 4 (Cara). It matches all the clues provided.
FINAL_ANSWER: &lt;Answer&gt; Ben, Anna, Drew, Cara</t>
  </si>
  <si>
    <t>20e1</t>
  </si>
  <si>
    <t xml:space="preserve"> Clues used: Anna sits left of Ben, Cara doesn't sit on an end seat, Drew sits right of Cara, Ben doesn't sit in seat 2, Anna doesn't sit in seat 3.
Since we cannot have two people sharing one seat, each person must occupy a different seat. Since Anna sits left of Ben and Ben is not in seat 2, Anna has to be either in seat 1 or seat 4.
Cara cannot sit on an end seat, which means she's not in seat 1 or seat 4. If Cara isn't in seat 1 or 4, it leaves us with the possibility that she can only be in seat 2 or 3. However, this doesn't make sense since Drew sits immediately to the right of Cara, who cannot be in either of the end seats. This implies that Drew must be in seat 5 and Cara should be in seat 4 (which is the first available option for her), making Drew sit in the last seat.
Now, we know that Anna cannot be in seat 3, so she must be in seat 1. Putting it all together, from left to right: Ben, Anna, Cara, and Drew. So, FINAL_ANSWER: &lt;Answer&gt; Ben, Anna, Cara, and Drew.</t>
  </si>
  <si>
    <t>20e2</t>
  </si>
  <si>
    <t xml:space="preserve"> The only available information is given about the relative positions of each person. We'll use it step by step to determine the seating order.
1. Anna sits to the left of Ben. This means there's a space between Anna and Ben, so there must be at least one other person (Cara) between them. So the possible arrangement at this point can be like this: Ben-Seat-Anna-Seat-Carra-Drew or Ben-Seat-Carra-Anna-Seat-Drew.
2. Drew sits immediately to the right of Cara. This confirms that the arrangement should be Ben-Seat-Carra-Anna-Seat-Drew.
3. Now we know Ben isn't sitting in seat 2. This eliminates the possibility of having Ben-Seat-Carra-Anna-Seat-Drew as the arrangement because the seat before seat 2 would be empty if Ben were not in it. This leaves us only with the option Ben-Seat-Carra-Anna-Seat-Drew, which is the correct order.
4. Lastly, we have Anna not sitting in seat 3. This doesn't change the final answer since we've already determined the order between the three people left.
FINAL_ANSWER: &lt;Ben-Seat-Cara-Anna-Seat-Drew&gt;</t>
  </si>
  <si>
    <t>20e3</t>
  </si>
  <si>
    <t xml:space="preserve"> Clue 1: Anna sits somewhere to the left of Ben.
Clue 2: Cara does not sit on an end seat.
Clue 3: Drew sits immediately to the right of Cara.
Clue 4: Ben does not sit in seat 2.
Clue 5: Anna does not sit in seat 3.
We know Anna is to the left of Ben and cannot sit in seat 3. So, she can either be at spot 1 or spot 2. Considering no one else is in those seats, let's place her in spot 1 (leftmost) according to order.
Cara can't be on an end seat, meaning she won't be in spot 1 or spot 4. She has to be between seats 2 and 3, and Drew sits immediately to her right, so this means Drew can only be in spot 3.
Since Ben doesn't sit in seat 2, he must be either in spot 1 or spot 4. Since Anna is already occupying spot 1, Ben will take spot 4 (rightmost).
So the final seating order is as follows: &lt;Anna (1), Cara (2), Drew (3), Ben (4)&gt;</t>
  </si>
  <si>
    <t>20g1</t>
  </si>
  <si>
    <t xml:space="preserve"> Clue analysis:
1. Anna sits somewhere to the left of Ben.
2. Cara does not sit on an end seat.
3. Drew sits immediately to the right of Cara.
4. Ben does not sit in seat 2.
5. Anna does not sit in seat 3.
Solution process: Start assigning seats based on the given clues.
1. Cara cannot be at an end seat. This means she cannot be on either end (seat 1 or seat 4). So, we can safely assume Cara is on either seat 2 or seat 3.
2. Drew sits immediately to the right of Cara, which means Drew will be on either seat 3 or seat 4 depending on where Cara is.
3. Now, since Ben does not sit in seat 2, this implies that there are only two remaining possible places for Ben - seat 1 or seat 4 if Cara is in seat 2 or seat 3 respectively.
4. Anna cannot be in seat 3 due to the clue. This leaves us with only one option for Anna, which is seat 1 or seat 4 depending on where Cara and Ben are seated.
Since there are multiple possibilities based on the given clues, the solution will remain uncertain until additional information is provided.</t>
  </si>
  <si>
    <t>20g2</t>
  </si>
  <si>
    <t xml:space="preserve"> Clues breakdown:
1. Anna sits somewhere to the left of Ben. This means that Ben's seat is either 2 or 3 (since Anna cannot be at 1).
2. Cara does not sit on an end seat, which implies she's neither on seat 1 nor 4. The possible seats for her are 2, 3, or 5.
3. Drew sits immediately to the right of Cara. This gives us the information that Cara's seat isn't 4 and Drew's seat could be 4 or 5.
4. Ben does not sit in seat 2.
5. Anna does not sit in seat 3.
Now, let's analyze and find the correct seating order.
Since Anna sits to the left of Ben, Anna can't be at 1. We know Anna can't be at 3 as well. So, Anna must be in either seat 1 or 2.
Cara can't be in seat 1 or 4 as per clause 2. This means that she can only be in seat 2, 3, or 5. Now, since Drew sits to the right of Cara, Cara can't be in seat 4. Hence, Drew can potentially be in seat 4 or 5.
With all these constraints, we're left with a smaller set of possibilities:
For Anna: Seat 1, Seat 2
For Ben: Seat 2, Seat 4
For Cara: Seat 2, Seat 3, Seat 5
For Drew: Seat 4, Seat 5
Now by examining each possibility and ensuring that no two people share a seat, we can finalize the seating order.
First try: Anna (1), Ben (2), Cara (2), Drew (4) - this doesn't work because Ben and Cara occupy the same seat.
Second try: Anna (1), Ben (4), Cara (2), Drew (5) - doesn't work because Ben and Drew share seat 4.
Third try: Anna (1), Ben (4), Cara (3), Drew (5)</t>
  </si>
  <si>
    <t>20g3</t>
  </si>
  <si>
    <t xml:space="preserve"> 
1. Anna sits somewhere to the left of Ben.
2. Cara does not sit on an end seat.
3. Drew sits immediately to the right of Cara.
4. Ben does not sit in seat 2.
5. Anna does not sit in seat 3.
Using these clues, we can deduce the following:
1. Since Anna is to the left of Ben, and Ben isn't in seat 2, Anna could be in either seat 1 or seat 4.
2. Since Cara doesn't sit on an end seat, she could be in either seat 2 or seat 3.
3. Drew sits to the right of Cara, so if Cara is in seat 2, then Drew would be in seat 3. If Cara is in seat 3, then Drew would be in seat 4.
4. We already know that Ben isn't in seat 2, so he can either be in seat 1 or seat 4.
However, we can't determine the positions of Anna, Cara, and Drew independently since they affect each other's seating positions based on their given constraints. Therefore, to find the exact seating order, we need to use trial and error method by trying different combinations for the seating positions. We'll account for all valid and invalid possibilities.
Possible Seating Order 1 (Invalid): Anna (1) - Ben (2) - Cara (3) - Drew (4)
Reason: Ben is not in seat 2, but this arrangement has him in seat 2.
Possible Seating Order 2 (Invalid): Anna (1) - Ben (4) - Cara (2) - Drew (3)
Reason: Drew cannot sit in seat 3 as he is to the right of Cara who is in seat 2.
Possible Seating Order 3 (Invalid): Anna (1) - Ben (4) - Cara (4) - Drew (3)
Reason: This has both Cara and Drew sitting on end seats which is not allowed.
Possible Seating Order 4 (Valid): Anna (4) - Ben (1) - Cara (2) -</t>
  </si>
  <si>
    <t>20s1</t>
  </si>
  <si>
    <t xml:space="preserve"> We have the following relationships:
1. A (Anna) is left of B (Ben).
2. C (Cara) does not sit on end seat.
3. D (Drew) sits immediately to the right of C (Cara).
4. B (Ben) does not sit in seat 2.
5. A (Anna) does not sit in seat 3.
Using the given structure, we can represent it as below:
1. A&lt;B
2. not(C=1 or C=4)
3. D=C+1
4. not(B=2)
5. not(A=3)
Now, let's solve the problem step by step:
1. Eliminate impossible situations - Considering the fact that no one can sit on an end seat, we can assume that both ends are vacant for the moment. Thus, we can eliminate Anna sitting in seat 3, and Cara sitting in either seat 1 or 4. This leaves us with the following restrictions:
    a. Anna can only take seat 1, 2, or 4.
    b. Ben cannot take seat 2.
    c. Drew can only sit on either seat 3 or 4.
    d. Cara cannot sit on either seat 1 or 4.
2. Determine possible seating arrangements - There are multiple possible seating orders which could satisfy all the given conditions.
3. Evaluate each arrangement - For example, let's analyze the seating order: Anna in seat 2, Ben in seat 4, Cara in seat 1, and Drew in seat 3.
   a. It doesn't violate any of the given conditions.
   b. However, it is not the only valid solution. We have other possibilities such as:
     i. Anna in seat 2, Ben in seat 4, Cara in seat 1, and Drew in seat 3.
     ii. Anna in seat 1, Ben in seat 4, Cara in seat 3, and Drew in seat 2.
     iii. Anna in seat 1, Ben in seat 4, Cara in seat 3, and Drew in seat 2</t>
  </si>
  <si>
    <t>20s2</t>
  </si>
  <si>
    <t xml:space="preserve"> A is left of B becomes A&lt;B.
Relationships:
1. Anna&lt;Ben
2. Cara&lt;(not on an end)
3. Drew=Cara+1 (immediately to the right)
4. Ben!=2 (doesn't sit in seat 2)
5. Anna!=3 (doesn't sit in seat 3)
No two people can share a seat. We have 4 seats and 4 people.
Now we need to find a valid seating arrangement using these relationships. There might be multiple solutions based on the given clues.
One possible solution:
FINAL_ANSWER: Ben, Cara, Drew, Anna</t>
  </si>
  <si>
    <t>20s3</t>
  </si>
  <si>
    <t xml:space="preserve"> Relationships extracted:
- Anna&lt;Ben (Anna left of Ben)
- Cara not in end seats
- Drew right of Cara
- Ben not in seat 2
- Anna not in seat 3
Solving the puzzle:
1. Since Drew sits immediately to the right of Cara and Ben doesn't sit in seat 2, Ben must be in seat 1.
2. If we consider Anna as sitting left of Ben (seat 1), then she will be in seat 2.
3. Considering that Anna doesn't sit in seat 3, this leaves seat 3 for Cara.
4. We have no information about which seat Cara prefers within the available options (3 or 4), so we can't be certain which one she'll choose. Let's assume both scenarios.
Solution 1: Cara in seat 3 - Anna&lt;Ben&lt;Cara&lt;Drew (with Anna and Cara swapped in Solution 2)
Solution 2: Cara in seat 4 - Ben&lt;Anna&lt;Cara&lt;Drew (with Cara and Drew swapped in Solution 1)
FINAL_ANSWERS: &lt;Solution 1&gt; and &lt;Solution 2&gt;</t>
  </si>
  <si>
    <t>21z1</t>
  </si>
  <si>
    <t>Three treasure chests sit on a table: Bronze, Silver, and Gold. Only one contains the real treasure. A note reads: â€œThe treasure is not in the heaviest chest.â€ â€œThe Silver chest is lighter than the Bronze chest.â€ â€œThe Gold chest is neither the heaviest nor the lightest.â€ Question: Which chest cannot contain the treasure?</t>
  </si>
  <si>
    <t xml:space="preserve"> The final answer is that the Gold chest cannot contain the treasure since it is neither the heaviest nor the lightest.</t>
  </si>
  <si>
    <t>21z2</t>
  </si>
  <si>
    <t xml:space="preserve"> The final answer is the Bronze chest cannot contain the treasure.</t>
  </si>
  <si>
    <t>21z3</t>
  </si>
  <si>
    <t xml:space="preserve"> The final answer is the Gold chest cannot contain the treasure.</t>
  </si>
  <si>
    <t>21c1</t>
  </si>
  <si>
    <t xml:space="preserve"> To solve this puzzle step by step, we will analyze the given information and eliminate chests that are less likely to have the treasure based on the clues provided.
1. The note says "The treasure is not in the heaviest chest." This immediately eliminates the Bronze chest as it's mentioned to be among the other two (Silver and Gold).
2. We know "The Silver chest is lighter than the Bronze chest." Since Bronze is eliminated, we can infer that Silver is the lightest of the remaining two (Silver and Gold).
3. The last clue states, "The Gold chest is neither the heaviest nor the lightest." From points 1 and 2, we know that Gold is not the heaviest since it's not Bronze and is not the lightest since it's not Silver.
4. After eliminating all three possible characteristics (heaviest, second heaviest, and lightest), the Gold chest is the only remaining chest with no specific weight category.
Final answer: The Gold chest cannot contain the treasure, as its positioning in terms of weight is not specified in the given context. However, it's important to note that this conclusion is based on the assumptions made from the provided information.</t>
  </si>
  <si>
    <t>21c2</t>
  </si>
  <si>
    <t xml:space="preserve"> First, let's analyze the given information step by step. The initial assumption is that the real treasure is only in one of the three treasure chests (Bronze, Silver, or Gold). The first note states that the treasure is not in the heaviest chest, which implies that we can eliminate one of the three options based on weight. However, it doesn't explicitly state which one. The second note tells us that the Silver chest is lighter than the Bronze chest, providing some insight into their relative weights. The third note reveals that the Gold chest is neither the heaviest nor the lightest, meaning it has a weight between the other two chests. With this information, we can use logical deduction to determine which chest could potentially not have the treasure.
The Gold chest must be heavier than Silver but lighter than Bronze. Since the Silver chest cannot contain the treasure due to being lighter than the Bronze chest, the heaviest of these remaining contenders (Silver and Gold) for the treasure would be the Gold chest. The logic here is that since the treasure isn't in the heaviest, it likely resides in the lightest of the remaining options. Therefore, if the treasure is indeed not in the Silver chest, the heaviest chest (Gold) or the lightest one (neither Silver nor Gold) can be excluded as potential candidates for holding the real treasure.
Final Answer: The Gold chest cannot contain the treasure, although it might still contain something valuable.</t>
  </si>
  <si>
    <t>21c3</t>
  </si>
  <si>
    <t xml:space="preserve"> To determine which chest cannot contain the treasure, we will analyze each statement and try to eliminate the options based on the given information.
1. "The treasure is not in the heaviest chest."
This statement eliminates the possibility of the Gold chest containing the treasure since it's mentioned to be 'neither the heaviest nor the lightest', implying that it can be weighty. As a result, if the heaviest chest does not have the treasure, the treasure might be in the other two chests (Bronze or Silver).
2. "The Silver chest is lighter than the Bronze chest."
Now, we have eliminated two options (the Gold chest) and left us with the Bronze and Silver chests. In the second statement, it is explicitly mentioned that the Silver chest is lighter than the Bronze one. This means the Silver chest is not the heaviest, but we still don't know about its weight in comparison to the third chest (Gold).
3. We are left with the Bronze and Gold chests. The Gold chest's weight isn't specified. Since it's not the heaviest, it could potentially hold the treasure, as long as it's not the lightest. However, no information contradicts the possibility of the treasure being in either the Bronze or Gold chest.
Final Answer: Based on the given puzzle statements, it is impossible to determine with certainty which chest cannot contain the treasure. Both the Bronze and Gold chests have a potential to have the real treasure while the other remains uncertain.</t>
  </si>
  <si>
    <t>21d1</t>
  </si>
  <si>
    <t xml:space="preserve"> Step 1: Key clues are - three treasure chests (Bronze, Silver, and Gold), only one contains the real treasure, note implies that "treasure is not in the heaviest chest", "Silver chest is lighter than the Bronze chest", "Gold chest is neither the heaviest nor the lightest".
Step 2: From the notes, we infer that the treasure is somewhere between the Silver chest (lightest) and the Bronze chest (heaviest). It's also not in the Gold chest, which is "neither the heaviest nor the lightest."
Step 3: The goal is to identify the chest which cannot have the treasure, as per the given context. We know it's not in the Gold or the Bronze. So, it must be the Silver chest.
FINAL_ANSWER: &lt;Answer&gt; Silver chest</t>
  </si>
  <si>
    <t>21d2</t>
  </si>
  <si>
    <t xml:space="preserve"> Step 1: Key Clues - Three treasure chests (Bronze, Silver, Gold), real treasure in one chest, note, heaviest/lightest chests mentioned
Step 2: Interpretation - The real treasure is not in the heaviest chest, Silver is lighter than Bronze, and Gold is neither heavy nor light
Step 3: Combine - The heaviest chest is not Silver (since it's lighter) and not Gold (it's not heavy). As Bronze is not mentioned being lighter or heavier, we can't be sure about its weight compared to the other two. But since only one chest has the real treasure, it means one of these two chests (Silver and Gold) cannot have it.
FINAL_ANSWER: Both Silver and Gold cannot contain the treasure.</t>
  </si>
  <si>
    <t>21d3</t>
  </si>
  <si>
    <t xml:space="preserve"> Step 1: Key clues - 
- Three treasure chests (Bronze, Silver, Gold)
- One real treasure
- Note says treasure not in heaviest chest
- Silver chest is lighter than Bronze
- Gold chest is not heaviest, not lightest
Step 2: Interpretation of clues - 
- The treasure can be found in any of the three chests
- The heaviest chest cannot have the treasure
- The Silver chest being lighter than Bronze means the order is Bronze &gt; Silver &gt; Gold (based on weight)
- The Gold chest weight could be anywhere between the Bronze and Silver
- We still don't have enough information to identify which exact chest contains the treasure
Step 3: Combine the clues to reach a conclusion - 
Considering the information provided, we can determine which chest cannot contain the treasure by eliminating those that are either too heavy or too light. Since we know that the heaviest chest does not contain the treasure, this leaves the possibility for it to be in the Silver or Gold chests since they are neither the heaviest nor the lightest.
FINAL_ANSWER: &lt;Answer&gt; The Bronze chest cannot contain the treasure.</t>
  </si>
  <si>
    <t>21v1</t>
  </si>
  <si>
    <t xml:space="preserve"> Let's analyze the problem step by step.
1. The treasure cannot be in the heaviest chest according to the first clue.
2. The Silver chest is lighter than the Bronze chest. This means that the Silver chest has a lower weight than the Bronze chest, which could imply it might be lighter than the treasure chest, but we can't confirm this yet.
3. The Gold chest is neither the heaviest nor the lightest. This implies there are only two other possibilities for the Gold chest's weight: it's either lighter or heavier than the treasure chest. However, we don't have enough information to conclude this since we only have an indirect comparison to two other chests.
Since we don't know for sure which chest can't contain the treasure, let's just examine each one:
1. Bronze - It could be heavier (contains the treasure) or lighter (doesn't contain the treasure).
2. Silver - It's lighter than the Bronze chest, but we don't know if it's lighter than the treasure or not.
3. Gold - Could be lighter or heavier than the treasure chest (we don't have enough information).
Now, our reasoning isn't complete yet as we need to determine the treasure chest based on the given clues. We can only deduce a tentative conclusion that either the Silver or Gold chest cannot contain the treasure. We would need additional information to definitively identify the correct chest.
Output: There is no specific final answer as we don't have enough data to definitively identify the treasure chest.</t>
  </si>
  <si>
    <t>21v2</t>
  </si>
  <si>
    <t xml:space="preserve"> Analyzing the given information to solve the puzzle:
1. Real treasure is not in the heaviest chest (exclude Gold)
2. Silver is lighter than Bronze (exclude Silver)
3. Gold is neither the heaviest nor the lightest (exclude both Gold and Silver)
Combining this information, we can eliminate three chests one by one:
1. Excluding Gold, it's either Bronze or Silver that contains the treasure.
2. Excluding Silver, it's only Bronze left.
3. We have two scenarios - if Bronze is not the treasure, then the treasure must be in Gold. If Bronze is the treasure, then Gold cannot be it.
Final answer (we need to find the chest that cannot contain the treasure):
FINAL_ANSWER: &lt;Bronze or Gold&gt;</t>
  </si>
  <si>
    <t>21v3</t>
  </si>
  <si>
    <t xml:space="preserve"> Firstly let's analyze each clue:
1. The treasure is not in the heaviest chest. (Bronze, Silver, Gold) - This eliminates Bronze as it's heavier.
2. The Silver chest is lighter than the Bronze chest. (Bronze, Silver) - We know Silver is lighter than Bronze.
3. The Gold chest is neither the heaviest nor the lightest. (Bronze, Silver, Gold) - This doesn't give us any new information to eliminate a specific chest.
We know that only one of the three can contain the treasure, and our goal is to find out which one cannot have it. Since we know Silver is lighter than Bronze, we can assume Silver may be the lightest but not necessarily. However, since Gold is also not the heaviest or lightest, we can assume it's close to being average in weight, making it possibly more likely to contain the treasure.
Given these assumptions, Bronze being the heaviest and the treasure not being in the heaviest chest implies that the treasure might be in the Silver or Gold chest. The statement that the Gold chest is not the lightest or heaviest doesn't eliminate it completely.
Now, let's consider that Silver is lighter than Bronze and also potentially not the lightest, which could imply that it's nearer to the other two. This means it might have a higher chance of containing the treasure compared to the heavier option, Bronze.
To conclude, considering all the clues and their implications, the chest that cannot contain the treasure would be Bronze. FINAL_ANSWER: Cannot_Contain_Treasure: Bronze</t>
  </si>
  <si>
    <t>21e1</t>
  </si>
  <si>
    <t xml:space="preserve"> Clues:
1. Three treasure chests sit on a table: Bronze, Silver, and Gold.
2. Only one contains the real treasure.
3. A note reads: "The treasure is not in the heaviest chest."
4. "The Silver chest is lighter than the Bronze chest."
5. "The Gold chest is neither the heaviest nor the lightest."
Reasoning: The clues tell us that the treasure's location can be determined by excluding chests based on their weight. We are given three pairs of chests to consider: Bronze-Silver, Gold-Bronze, and Gold-Silver. We know that the treasure is not in the heaviest or the lightest of the two chests mentioned in each pair. Based on these pieces of information, we can systematically exclude chests.
From clue 4, we know that Silver is lighter than Bronze, so the heaviest will be Bronze and the lightest will be Silver. Since the treasure is not in the heaviest chest (clue 3), it eliminates the possibility of treasure being in the Bronze chest.
From clue 5, we learn that the Gold chest is neither the heaviest nor the lightest, which means it could be either. However, since we have already eliminated the possibility of the treasure being in a Bronze chest, there's no need to further investigate this relationship between the Gold and Bronze chests.
Now, let's look at the remaining possibilities: the Gold and Silver chests. If the treasure is not in the lightest, then it must be in the heavier one. The Silver chest is lighter than the Gold, and since they are the only two left after eliminating the Bronze chest, the Gold chest must be heavier than the Silver chest.
FINAL_ANSWER: The chest that cannot contain the treasure is the Silver chest.</t>
  </si>
  <si>
    <t>21e2</t>
  </si>
  <si>
    <t xml:space="preserve"> Clues: 
1. Three treasure chests (Bronze, Silver, and Gold) sit on a table.
2. Only one contains the real treasure.
3. A note reads: "The treasure is not in the heaviest chest."
4. "The Silver chest is lighter than the Bronze chest."
5. "The Gold chest is neither the heaviest nor the lightest."
Reasoning: We can't directly determine which chest doesn't have the treasure based on the given information. However, we know that the treasure isn't in the heaviest chest. Since the Bronze chest is heavier than the Silver chest, it's more likely that either the Silver or Gold chest could hold the treasure. The Gold chest is also not the lightest one. Therefore, we don't know for certain, but we can infer that the chances of the Bronze chest containing the treasure are lower. FINAL_ANSWER: It's uncertain which chest cannot hold the treasure, but we can eliminate the possibility of the Bronze chest containing the treasure.</t>
  </si>
  <si>
    <t>21e3</t>
  </si>
  <si>
    <t xml:space="preserve"> Clues used:
1. Three treasure chests sit on a table: Bronze, Silver, and Gold.
2. Only one contains the real treasure.
3. A note reads: "The treasure is not in the heaviest chest."
4. "The Silver chest is lighter than the Bronze chest."
5. "The Gold chest is neither the heaviest nor the lightest."
Reasoning: We know there is only one real treasure among the three chests. The note states that the treasure is not in the heaviest chest. Now we have information on the weight of the Silver and Bronze chests. It mentions that the Silver chest is lighter than the Bronze chest. This implies that if we consider the order of weights as Light (Silver), Medium (Gold) and Heavy (Bronze), the Gold must be the one with the treasure to contradict the weight relationship between the Silver and Bronze chests.
FINAL_ANSWER: The Gold chest cannot contain the treasure.</t>
  </si>
  <si>
    <t>21g1</t>
  </si>
  <si>
    <t xml:space="preserve"> Clue analysis:
1. Treasure chests are Bronze, Silver, and Gold.
2. Only one has the real treasure.
3. The note mentions the treasure is not in the heaviest chest.
4. The Silver chest is lighter than the Bronze chest.
5. The Gold chest is neither the heaviest nor the lightest.
Question interpretation: We need to find which of these three chests does not hold the treasure.
Solution: Since we know that there is only one treasure chest that is not the heaviest (point 3), and the Silver chest is lighter than the Bronze chest (point 4). The Gold chest is neither the heaviest nor the lightest, but it's not directly mentioned about its relation to the weight of the other two chests. Therefore, we can infer that the heaviest would likely be either the Bronze or Gold chest, since both are still heavier than Silver.
FINAL_ANSWER: Bronze or Gold cannot contain the treasure.</t>
  </si>
  <si>
    <t>21g2</t>
  </si>
  <si>
    <t xml:space="preserve"> Clue 1 (Three treasure chests sit on a table: Bronze, Silver, and Gold) - This sets up the scene with three distinct chests named Bronze, Silver, and Gold.
Clue 2 (Only one contains the real treasure.) - There's a single chest containing the actual treasure. This hint will help us eliminate some of the options.
Clue 3 (A note reads: "The treasure is not in the heaviest chest.") - The note suggests that the heaviest chest doesn't have the real treasure, so we can eliminate it from our final answer.
Clue 4 ("The Silver chest is lighter than the Bronze chest.") - We now know Silver is lighter than Bronze, which may or may not be relevant to the treasure.
Clue 5 ("The Gold chest is neither the heaviest nor the lightest.") - Gold is not the heaviest but not the lightest, further complicating things.
Question: Which chest cannot contain the treasure? - We need to determine the remaining option that might not contain the treasure.
FINAL_ANSWER: &lt;Answer&gt; Bronze or Gold</t>
  </si>
  <si>
    <t>21g3</t>
  </si>
  <si>
    <t xml:space="preserve"> Clue Summary:
1. Three treasure chests (Bronze, Silver, Gold) are on a table.
2. Only one has real treasure.
3. Not in the heaviest.
4. Silver lighter than Bronze.
5. Gold is not heaviest or lightest.
Interpretation of Clues:
1. There are three treasure chests and one of them has the true treasure.
2. The clues will help us eliminate two of the chests to find the correct one.
3. The true treasure is not in the heaviest chest (which implies, the other two could be lighter).
4. Silver chest is lighter than Bronze, which makes it possible for both to be lighter than the heaviest chest.
5. Gold chest is a neutral one; not heavy nor light, making it less likely but still a possibility.
Solving the Puzzle:
1. We know that the heaviest chest cannot have the treasure. So, we can eliminate the Bronze chest.
2. Now, the options are Silver and Gold.
3. Although we don't have enough information to eliminate Gold, we can assume it's more likely to be the real treasure chest since the other two are either lighter or neutral regarding weight.
FINAL_ANSWER: It's difficult to definitively determine due to limited information. Gold chest might contain the treasure but without further clues, we can only guess.</t>
  </si>
  <si>
    <t>21s1</t>
  </si>
  <si>
    <t xml:space="preserve"> Firstly, let's translate given sentences into a structured relationship format. Here we can use '&lt;' for 'is left of', '&lt;=' for 'is not heavier than', '=&gt;' for 'implies', '==' for 'equals'.
1. Three treasure chests sit on a table: Bronze, Silver, and Gold. (Assumption: order doesn't matter)
2. Only one contains the real treasure. (Assumption: Treasure must be in one)
3. The treasure is not in the heaviest chest. (=&gt; Heaviest doesn't have the treasure)
4. The Silver chest is lighter than the Bronze chest. (Silver&lt;Bronze)
5. The Gold chest is neither the heaviest nor the lightest. (=&gt; Not Gold, not Bronze)
Now, we need to solve this puzzle using these translated relationships. Let's analyze them step by step:
- We know the treasure is not in the heaviest one, so we should find out which one is not the heaviest among Bronze, Silver, and Gold (Heaviest not containing treasure). In this case, it's either Silver or Gold.
- Since Silver is lighter than Bronze, it can't be heavier than Gold, therefore, it's the lighter one (Silver&lt;Gold)
- Then, the Gold chest is not the heaviest but also not the lightest. So it's not the heaviest (Gold != Heaviest).
- Furthermore, since Gold is not the heaviest, it's also not the same as Bronze (Gold != Bronze).
Based on these findings, the only remaining chest that cannot contain the treasure would be either Bronze or Gold. Since we don't have specific information about the weight of Bronze compared to Gold, we could infer that Bronze might as well have the treasure but it's just as likely for Gold to hold the treasure.
FINAL_ANSWER: &lt;Answer&gt; = Bronze, Gold</t>
  </si>
  <si>
    <t>21s2</t>
  </si>
  <si>
    <t xml:space="preserve"> First, we'll translate the given statements into their corresponding relationships. Then, we'll use these relationships to find out which treasure chest cannot hold the treasure.
1. A note reads: "The treasure is not in the heaviest chest." =&gt; NOT_HEAVIEST_CHEST_HAS_TREASURE
2. "The Silver chest is lighter than the Bronze chest." =&gt; SILVER_LIGHTER_BRONZE
3. "The Gold chest is neither the heaviest nor the lightest." =&gt; GOLD_NOT_HEAVIEST_NOT_LIGHTEST
Now let's analyze the relationships:
- The treasure cannot be in the heaviest chest since it's not there.
- The Silver chest is lighter than the Bronze, so there might be a chance that it's not the heaviest.
- Since the Gold chest is not the heaviest and not the lightest, it could potentially be the heaviest or the lightest.
Based on the translated relationships, we can infer the following:
- The treasure cannot be in the heaviest chest (THE_HEAVIEST_CHEST).
- Since SILVER_LIGHTER_BRONZE, the treasure could be in either the Silver or the Bronze. However, considering they are both metal and could have similar weights, let's assume the treasure isn't in the Silver.
- GOLD_NOT_HEAVIEST_NOT_LIGHTEST implies that the Gold chest could potentially be THE_HEAVIEST_CHEST or THE_LIGHTEST_CHEST, but there is no such information indicating that it is.
As of now, the only chest with a clear contradiction to containing the treasure is the Silver chest due to its location being explicitly mentioned in the puzzle. So FINAL_ANSWER: &lt;Answer&gt; is Silver.</t>
  </si>
  <si>
    <t>21s3</t>
  </si>
  <si>
    <t xml:space="preserve"> Relationship Translation:
1. Bronze, Silver, and Gold are treasure chests.
2. Treasure is in one chest - Real_Treasure_Chest.
3. Not in the heaviest - Heavy_Treasure_Chest != Real_Treasure_Chest.
4. Lighter Silver than Bronze - Light_Chest_Bronze = (Silver != Bronze) and Light_Chest_Bronze.
5. Lighter Silver than Gold - Light_Chest_Gold = (Silver != Gold) and Light_Chest_Bronze.
6. Gold is not heaviest - Heavy_Treasure_Gold = Gold != Real_Treasure_Chest and Heavy_Treasure_Gold != Gold.
7. Gold is not lightest - Light_Chest_Gold = Gold != Real_Treasure_Chest and Light_Chest_Gold != Gold.
Solving the Puzzle:
1. Identify the treasure. Since we don't know which chest it is, assume each can be the treasure.
   Treasure_Chest = {Bronze, Silver, Gold}
2. Exclude the heaviest and lightest according to relationship 3 and 6.
   Heavy_Treasure_Chest = {Bronze, Gold}
   Light_Chest_Gold = {Gold}
3. Apply relationships 4 and 5 to further reduce the options.
   Light_Chest_Bronze = {Silver}
   Light_Chest_Gold = {Silver}
4. Combine all remaining options for the treasure chest.
   Treasure_Chest_Options = Heavy_Treasure_Chest - Light_Chest_Bronze - Light_Chest_Gold
   Treasure_Chest_Options = {Bronze, Gold} - {Silver} - {Silver}
   Treasure_Chest_Options = {Bronze, Gold}
5. The only chest that cannot contain the treasure is the one not included in these combinations.
   FINAL_ANSWER: &lt;Answer&gt; = {Bronze, Gold} - Treasure_Chest_Options =</t>
  </si>
  <si>
    <t>22z1</t>
  </si>
  <si>
    <t>Four people â€” Ava, Ben, Cara, and Devin â€” are waiting in a line. Clues: Ava is somewhere in front of Ben. Devin is not first. Cara is directly behind Ava. Who is standing in front of Devin?</t>
  </si>
  <si>
    <t xml:space="preserve"> The final answer is that Ava is standing in front of Devin.</t>
  </si>
  <si>
    <t>22z2</t>
  </si>
  <si>
    <t xml:space="preserve"> The final answer is that Ben is standing in front of Devin.</t>
  </si>
  <si>
    <t>22z3</t>
  </si>
  <si>
    <t xml:space="preserve"> The final order from front to back is: Ava, Cara, Ben, Devin. So, Ben is standing in front of Devin.</t>
  </si>
  <si>
    <t>22c1</t>
  </si>
  <si>
    <t xml:space="preserve"> To solve this step by step, let's break down each clue and determine the order of the people in the line.
1. "Ava is somewhere in front of Ben." This means either she is right before him or in between two others who are also in front of Ben. We don't know exactly where Ava is positioned, but we know she's not the person immediately after Ben. 
2. "Devin is not first." This eliminates the possibility that Devin is the first one in the line. It doesn't provide any information about his position relative to anyone else. 
3. "Cara is directly behind Ava." This gives us a clear piece of information about the line. The arrangement will be as follows: Ava, Cara, someone(s), Ben, someone(s), Devin. 
Now, we can place the remaining people in their positions by connecting the dots. Since Ava is not the first and not right in front of Ben, it leaves only one position for her, before Cara. In the same manner, since Cara is the one who is directly behind Ava, she must be after Ava. Then, the remaining positions (someone(s) between Ava and Ben, someone(s) between Ben and Devin) are filled with unspecified individuals who were left out of the clues. Therefore, Ava is standing before Devin because she is in the line in front of Cara, who is in turn, directly behind Ava. 
Final answer: Ava is standing in front of Devin.</t>
  </si>
  <si>
    <t>22c2</t>
  </si>
  <si>
    <t xml:space="preserve"> To solve this puzzle step by step, let's analyze the given information and deduce the order in which the people stand in the queue.
1. We know that "Ava is somewhere in front of Ben." This information tells us that Ava must be ahead of Ben. It doesn't specify if Ava is the first one or second, so we can't say where she stands relative to the other two people (Cara and Devin) for now.
2. "Devin is not first." This clue eliminates the possibility that Devin is the first person in the queue, making it clear that at least two people are in front of him. However, we still don't know his exact position since it doesn't mention where he stands relative to Ava or Ben.
3. The next clue states that "Cara is directly behind Ava." This information tells us that Cara is right after Ava, and therefore, Ava is in front of her.
Now that we have analyzed all the clues, let's arrange these people in the order they stand:
1. Since Ava is somewhere in front of Ben but not the first, she could be either first or second in the queue.
2. We cannot say anything about Devin yet as he is not the first and there is no specific information regarding his position between Ava and Ben.
3. Cara comes just after Ava as she is directly behind Ava.
To find out who is standing in front of Devin, let's look at the different possible scenarios for Ava's position.
Case 1 (Ava is first): If Ava is the first, then Ben is the second, and Cara is third in the queue. In this case, Devin would be the last one, standing in front of only Ben.
Case 2 (Ava is second): Here, Ava would be the second person, following Ben. Devin would be the third, standing in front of only Cara.
Considering both cases, the person standing in front of Devin can be either Ben or Cara, depending on whether Ava is the first or second in the line. We cannot determine which scenario is true without more information. The final answer should reflect this uncertainty.
Final Answer: The person standing in</t>
  </si>
  <si>
    <t>22c3</t>
  </si>
  <si>
    <t xml:space="preserve"> To solve this problem step by step, we will analyze each clue and use them to determine the order of the people in the line. The clues given are:
1. Ava is somewhere in front of Ben.
2. Devin is not first.
3. Cara is directly behind Ava.
Now let's analyze these clues:
1. Since Ava is in front of Ben, it can be anywhere from 1st to 3rd position (if someone else is between them), but not after Ben. Let's keep her position open for now.
2. It tells us that Devin is not at the very beginning. So, he must be at least 2nd or 3rd (the first person would make him the fourth). This means Devin's position could be anywhere from 2nd to 4th. We can also exclude the 1st position because Ben is in front of Devin, which we know from clue 1.
3. Cara is directly behind Ava. Therefore, she has a specific position, which is the one directly following Ava's position in the line.
Now, we can start eliminating positions that are already assigned to other people:
Devin cannot be 1st, as that would make him the first person mentioned (which contradicts clue 2). Also, Devin cannot be the 3rd person, as that would mean he is right before Cara (which contradicts the information about Cara being directly behind Ava). This only leaves us with the 2nd position for Devin.
Ava must be at least 2nd in line, as Ava is in front of Ben (from clue 1) and Ben is ahead of Devin (since Devin is not first). So, Ava's position cannot be lower than 3rd either.
With this information, we can determine that the line order is: Devin (2nd), Ava (3rd-4th), Ben (4th), and Cara (5th - directly behind Ava). The final answer is that Ava is standing in front of Ben (Ava is between 3rd and 4th positions and Ben is in the 4th position). However, it's essential to note that we don't have all the exact</t>
  </si>
  <si>
    <t>22d1</t>
  </si>
  <si>
    <t xml:space="preserve"> Step 1: Key clues - Ava is somewhere in front of Ben, Devin is not first, Cara is directly behind Ava.
Step 2: Interpretation - Ava is to the right of Ben (since we don't know exactly how far forward she is). Devin is not the first person in the line. Cara is immediately after Ava, or to the right of her, but not in front of Ava.
Step 3: Combine the clues - We have four people in a line: Ava is in front of Ben but not necessarily the first, Cara is to the right of Ava and not in front of her, and Devin is not the first one.
FINAL_ANSWER: The person standing in front of Devin is Ben, who is in front of Ava.</t>
  </si>
  <si>
    <t>22d2</t>
  </si>
  <si>
    <t xml:space="preserve"> Step 1: Key clues - Ava is somewhere in front of Ben, Devin is not first, Cara is directly behind Ava.
Step 2: Interpreting clues:
- Ava being somewhere in front of Ben implies Ava is not the first one in the line but also ahead of Ben.
- Devin is not the first implies he might be in the middle or at the end of the line.
- Cara being directly behind Ava means that Cara is the person following Ava in the line.
Step 3: Combine clues to reach a conclusion:
- Since Ava is in front of Ben, Ava should be before or at the same position as Ben in the line.
- Given that Devin is not the first, it could either mean he is right after Ben or right after another person other than Ben. However, we can't accurately determine his exact place.
- Cara is directly behind Ava, which indicates she comes after Ava.
FINAL_ANSWER: The answer would be: Ava, Ben, and Cara are standing in front of Devin. But the specific positions couldn't be determined with certainty based on the given information.</t>
  </si>
  <si>
    <t>22d3</t>
  </si>
  <si>
    <t xml:space="preserve"> Step 1: Key clues: Ava in front of Ben, Devin not first, Cara behind Ava, Cara in front of Devin
Step 2: Ava is in front of Ben (Possibly Cara or Ava between them), Devin is not first (Devin might be at the end), Cara is behind Ava (Cara is also ahead of Devin), Cara is in front of Devin (Cara might be between Ava and Devin)
Step 3: Combine the clues. From all the given information, we know that Ava is somewhere in front of Ben, making it possible for Cara to be either before or after Ava. If Cara is in front of Devin, then she must be between Ava and Devin. Since Devin is not first, he could be behind Ben or Ava. Given this setup, Ben could be standing either before or after Devin.
FINAL_ANSWER: It's hard to pinpoint an exact person standing in front of Devin due to multiple possibilities with the given clues.</t>
  </si>
  <si>
    <t>22v1</t>
  </si>
  <si>
    <t xml:space="preserve"> Let's solve the puzzle step by step.
1. Since Ava is somewhere in front of Ben and Cara is directly behind Ava, we can deduce that Ava is in between Ben and Cara. This means Ava, Ben, and Cara form a sequence, with Ava in the middle.
2. Next, Devin is not first in the line, which eliminates the possibility of him being either the first or second person in the line.
3. Therefore, taking into account our findings in steps 1 and 2, we can conclude that Devin must be standing after at least two other people, which could be any combination of the remaining two (Ava and Ben).
4. However, since we have information about Ava being in front of Ben, it allows us to determine where Devin is standing. As Devin cannot be the first person, he is the third one in the line after Ben.
Final Answer: FINAL_ANSWER: Ben is standing in front of Devin.</t>
  </si>
  <si>
    <t>22v2</t>
  </si>
  <si>
    <t xml:space="preserve"> First, let's analyze the given information step by step. We know these relationships exist between the four people:
1. Ava is in front of Ben (Ava &gt; Ben)
2. Cara is directly behind Ava (Ava &gt; Cara)
3. Devin is not first (not the initial person)
Now, we need to arrange them in order without breaking any of the rules provided. Since we have three distinct relationships, we can solve for each pair and then combine them to create the full order.
Step 1: Ava &gt; Ben (Ava is in front of Ben) =&gt; Ava - Ben
Step 2: Ava &gt; Cara (Cara is behind Ava) =&gt; Ava - Cara - Ben
Step 3: Combine steps 1 and 2 to get the whole order except for Devin: Ava - Cara - Ben - Devin (Since Devin is not first)
FINAL_ANSWER: Ava - Cara - Ben - Devin</t>
  </si>
  <si>
    <t>22v3</t>
  </si>
  <si>
    <t xml:space="preserve"> First solve the puzzle without checking the clues. Ava is in front of Ben, so Ava might be first. Cara is directly behind Ava, so she must follow. Ben is between Ava and Cara, so Ben is in the middle. Since Devin is not first, we deduce that Devin should come after Ava. So, the order of people in the queue is [Ava, Ben, Cara, Devin].
Now, check the given clues. Ava is somewhere in front of Ben, which is correct. Devin is not first, also correct because Devin is at the fourth position. Cara is directly behind Ava, which is also correct. But our initial assumption didn't consider that Ava could be second or third. Since our current understanding doesn't match all clues, we need to reconsider the positions of Ava, Ben, and Cara.
Let's try another order: Ava could be second, followed by Ben who would be third (front of Ava) and Cara behind them. In this new order, Devin is still at the end. The revised order is [Ben, Ava, Cara, Devin].
All clues seem to be satisfied with the new order. So, FINAL_ANSWER: &lt;Answer&gt; [Ben, Ava, Cara, Devin]</t>
  </si>
  <si>
    <t>22e1</t>
  </si>
  <si>
    <t xml:space="preserve"> The given clues are as follows: Ava is somewhere in front of Ben, Devin is not first, Cara is directly behind Ava. From these clues, we can deduce the order of the line starting from the front. Since Ava is in front of Ben and Cara is directly behind Ava, they're both before Devin who is not first. Therefore, Ben is the one standing in front of Devin. FINAL_ANSWER: Ben</t>
  </si>
  <si>
    <t>22e2</t>
  </si>
  <si>
    <t xml:space="preserve"> Given clues:
1. Ava is somewhere in front of Ben.
2. Devin is not first.
3. Cara is directly behind Ava.
Since Ava is in front of Ben and Cara is directly behind Ava, we can infer that there's another person between Ava and Ben. This leaves us with the following possible order: Ava -&gt; Person (between Ava and Ben) -&gt; Ben -&gt; Cara -&gt; Devin. Since Devin is not the first, it means this person before Ben is also not first. Thus, FINAL_ANSWER: Person (between Ava and Ben) is standing in front of Devin.</t>
  </si>
  <si>
    <t>22e3</t>
  </si>
  <si>
    <t xml:space="preserve"> Using all provided clues:
1. Ava is somewhere in front of Ben.
2. Devin is not first.
3. Cara is directly behind Ava.
If we consider 'first' as the person who is at the beginning of the queue, then Devin is not first, which means someone is between him/her and the starting position. Since there are only four people, Cara being behind Ava means that she is in the fourth position. Following the order Ava (second), Ben (third), and Cara (fourth) from Ava to Ben, it is evident that Ben is between Ava and Cara. Therefore, given that Ava is somewhere in front of Ben and Cara is directly behind Ava, they are in the same line. We can deduce that Ben is standing in front of Devin, who is not first.
FINAL_ANSWER: Ben</t>
  </si>
  <si>
    <t>22g1</t>
  </si>
  <si>
    <t xml:space="preserve"> 
1. Clue: Ava is somewhere in front of Ben. This means there's at least one person between Ava and Ben, but Ava is ahead.
2. Clue: Devin is not first. This implies Devin is not the one in the first place or the one starting the line.
3. Clue: Cara is directly behind Ava. This places Cara right next to Ava but behind her.
4. Solving the puzzle: We know that Ben must be after Ava since she's in front of him, and we can infer that Cara is after Ben since she's behind Ava. This leaves us with a line order: Ava -&gt; Ben -&gt; Cara -&gt; Devin.
5. Final answer: With this sequence, no one is standing in front of Devin since Devin is the last person in the line. FINAL_ANSWER: No one is in front of Devin.</t>
  </si>
  <si>
    <t>22g2</t>
  </si>
  <si>
    <t xml:space="preserve"> FINAL_ANSWER: Ben</t>
  </si>
  <si>
    <t>22g3</t>
  </si>
  <si>
    <t xml:space="preserve"> First, the given clues are:
1. Ava is somewhere in front of Ben.
2. Devin is not first.
3. Cara is directly behind Ava.
4. The question is about who is standing in front of Devin.
Interpreting the clues:
1. Ava is ahead of Ben but the exact position is not specified.
2. Among them, Devin is not the one standing at the starting point (first position).
3. Cara follows Ava.
4. The key to answer is focused on the person in front of Devin.
Solving the puzzle using the clues:
Ava is in front of Ben and Cara is directly behind Ava. Since both Ava and Cara are ahead of Devin, Devin will have someone in front. But as per the clue 'Devin is not first', it means Devin is not standing on the first position, that is, he's not at the starting point. Therefore, no one is standing directly in front of Devin except him.
FINAL_ANSWER: None</t>
  </si>
  <si>
    <t>22s1</t>
  </si>
  <si>
    <t xml:space="preserve"> To translate the puzzle to structured relationships, we need to extract the given conditions and represent them as a set of interconnected elements. Let's break down the clues.
1. Ava is somewhere in front of Ben.
   - This means Ava has a position between Ava&lt;Ben (Ava is not before or after Ben).
2. Devin is not first.
   - As there are only four people, it means Devin is not Ava, Ben, nor Cara. So, we can express it as Devin â‰  Ava, Devin â‰  Ben, Devin â‰  Cara
3. Cara is directly behind Ava.
   - This means Cara's position is just after Ava's: Ava&lt;Cara.
Using these relationships, we now have a clear understanding of their relative positions in the line:
1. Ava&lt;Ben
2. Devin â‰  Ava, Devin â‰  Ben, Devin â‰  Cara
3. Ava&lt;Cara
To answer the question "Who is standing in front of Devin?", we need to identify the person that comes before Devin. In our relationships, this would be Devin's predecessor according to the '&lt;' relation. In Python, we can use a dictionary and sets to represent and find this relationship.
Person_Positions = {
    'Ava': ['Ben', 'Devin'],
    'Ben': ['Ava', 'Devin'],
    'Cara': ['Ava'],
    'Devin': ['Ava', 'Cara']
}
People_Order = set(Person_Positions.keys())
Devin_Predecessors = set(Person_Positions[key] for key in Person_Positions if 'Devin' in Person_Positions[key])
Final_Answer: FINAL_ANSWER: &lt;{Ava, Ben}&gt;
In the given puzzle, only Ava and Ben can stand in front of Devin since they are positioned in between Devin and the first person (which is not Devin).</t>
  </si>
  <si>
    <t>22s2</t>
  </si>
  <si>
    <t xml:space="preserve"> The relationships can be represented as follows:
1. Ava is left of Ben: Ava&lt;Ben
2. Devin is not first: Not(Devin=0)
3. Cara is directly behind Ava: Cara = Ava+1
4. Who is standing in front of Devin: ???
Now we can solve for the final answer using these relationships.
We know Ava is left of Ben (Ava&lt;Ben), which means Ava is before Ben in the line. We also know Cara is directly behind Ava (Cara = Ava+1), so Cara is to the right of Ava and left of Ben, making her between Ava and Ben.
Since we don't have a direct relationship between who is standing in front of Devin, we need to analyze other given relationships. We know Devin is not the first one (Not(Devin=0)). This implies that he has at least one person in front of him. From the given clues, we can only determine the relative positions of Ava, Ben, and Cara with respect to each other but cannot explicitly find out the position of Devin without further information.
Considering our available knowledge, the final answer should involve the relativity between the people involved while leaving an open question regarding Devin's position in the line due to a lack of information. FINAL_ANSWER: &lt;Ava, Ben, Cara, ? is behind someone else&gt;</t>
  </si>
  <si>
    <t>22s3</t>
  </si>
  <si>
    <t xml:space="preserve"> Relationships:
1. Ava left of Ben (Ava&lt;Ben)
2. Cara left of Ava (Cara&lt;Ava)
3. Devin not first
Solve the puzzle using the structure:
As we can see that Devin is not first, it implies that Devin is not Ava, who is standing in front of Ben. We also know that Cara is directly behind Ava. Therefore, Cara must be in front of Devin. FINAL_ANSWER: Cara is standing in front of Devin.</t>
  </si>
  <si>
    <t>23z1</t>
  </si>
  <si>
    <t>You are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Who has the key?</t>
  </si>
  <si>
    <t xml:space="preserve"> The person who has the key is the one sitting to the left of West, which is North. So, the person with the key is sitting at the position labeled North.</t>
  </si>
  <si>
    <t>23z2</t>
  </si>
  <si>
    <t xml:space="preserve"> The person sitting to the left of West, from your top-down perspective, would be South. So, the one with the key is the person sitting in the South position.</t>
  </si>
  <si>
    <t>23z3</t>
  </si>
  <si>
    <t xml:space="preserve"> The person sitting to the left of West from your top-down perspective is the one sitting between West and South. So, the person with the key is the one sitting on the South side.</t>
  </si>
  <si>
    <t>23c1</t>
  </si>
  <si>
    <t xml:space="preserve"> To solve this puzzle, we need to identify the person sitting to the left of West, and since West is sitting at the western side of the table, we can determine their position in relation to the other people. First, let's list the positions of all four people:
1. North
2. East
3. South
4. West
Now, let's determine who is sitting to the left of West. If we go one spot to the left of West (which means we move towards the direction that is opposite from our starting point), we end up on the East side of the table. So, the person sitting to the left of West from the given perspective is person number 2, who is sitting on the East side. Therefore, that person holds the key, as it is stated to be hidden under their chair.
Final Answer: Person sitting on the East side (number 2) has the key.</t>
  </si>
  <si>
    <t>23c2</t>
  </si>
  <si>
    <t xml:space="preserve"> Firstly, we need to identify the position of each individual relative to the given positions. Since North is up, East is right, South is down, and West is left, we can use these relationships to determine their actual relative position in relation to each other.
1. The person sitting on the West side is at the end where the label "West" is placed. This person is directly next to the wall where "North" is situated, which means that the person on the left of West is adjacent to the North side and has a direct connection with the East side as well.
2. The person sitting on the East side is next to both the North and the South sides due to its location.
3. The person sitting on the South side is directly connected to the East side since it is adjacent to the East side and also has a connection with the West side.
4. The person sitting on the North side is only connected to the East side as they share a common border along the East side.
Now let's identify who is seated to the left of West from the top-down perspective: It's the person who was initially described as sitting on the East side (due to the clockwise rotation from the North side).
Finally, we can conclude that the key is hidden under the chair of the person sitting to the left of West, which means the key is hidden under the chair of the person who is sitting on the East side, because they are one position clockwise from the left of West. So, the person sitting on the East side holds the key.</t>
  </si>
  <si>
    <t>23c3</t>
  </si>
  <si>
    <t xml:space="preserve"> To solve this puzzle step-by-step, we need to identify the positions of all four people around the table and determine which one is to the left of West. We will start by finding each person's position based on their respective label or direction.
1. North is at the top of the square table.
2. East is on the side that represents moving right from North.
3. South is on the side opposite to North, which is below North (since it's a square table).
4. West is on the left side of North (assuming the order goes clockwise around the table), which is the side opposite to the East side.
Now that we have identified the position of each person, we can analyze the given statement. The key is hidden under the chair of the person who is sitting to the left of West, from your top-down perspective. 
To find the person in question, consider the directions in the given perspective: From the top-down view, we are looking directly down towards the table. 
From this angle, the left side becomes the side facing away from us towards the center of the table. Therefore, the person sitting to the left of West would be on the side facing away from West (which is the South side as it's opposite to the West side). 
So, the person with the key is sitting on the South side. This person is the one who is sitting on the side of the table that represents moving "South" when going from North to East. 
Final answer: The person sitting on the South side has the key.</t>
  </si>
  <si>
    <t>23d1</t>
  </si>
  <si>
    <t xml:space="preserve"> Step 1: Key clues - Top-down view, square table, four people (North, East, South, West), East is right, South is down, West is left, key is under the chair, person who sits to the left of West.
Step 2: Interpreting clues - Top-down view implies we see from above. Square table doesn't change the situation. The placement of people and chairs (North, East, South, West) can be deduced from standard map orientation. The location of the key is under a specific person's chair. This person should be sitting to the left of the person representing 'West'.
Step 3: Combining clues - From the given information, 'West' is the one who is on the leftmost side. From our top-down perspective, the person sitting to the left of West would be the person on the top row and third column. This person would have the chair where the key is hidden. 
FINAL_ANSWER: The person who has the key is the one sitting in the position of the 'South' character.</t>
  </si>
  <si>
    <t>23d2</t>
  </si>
  <si>
    <t xml:space="preserve"> Step 1: Key clues - Square table, top-down view, four people, North, East, South, West, chairs, left of West.
Step 2: Interpretation - The table is arranged with four directions, following the cardinal points. The chair's position is relative to the left of someone sitting near West. We need to find out whose chair has the key based on the given information.
Step 3: Combine the clues - From the top-down view, we can see where West is sitting on the left side of the table. To her left would be the position for East. So, East has the chair that is to the left of West. Therefore, the person who sits in the East chair has the key.
FINAL_ANSWER: Person sitting in the East chair has the key.</t>
  </si>
  <si>
    <t>23d3</t>
  </si>
  <si>
    <t xml:space="preserve"> Step 1: Key clues in the puzzle are: viewing a square table from above, four people with positions (North, East, South, and West), standard map orientation, table layout, and the key hidden under the chair.
Step 2: Interpreting these clues implies: The table is a square one with a top view, and there are four people with specific locations around it. We have a North, East, South, and West positioning that aligns with the standard map orientation. The table has the typical cardinal direction layout, with chairs on the sides. The key is hidden based on this setup, under the specific person's chair.
Step 3: Combining the clues, we can deduce that the person sitting next to the 'West' side, from the top-down perspective, will have the key since it is mentioned to be under the chair of the individual to their left.
FINAL_ANSWER: The person with the key is the one sitting to the immediate left of West.</t>
  </si>
  <si>
    <t>23v1</t>
  </si>
  <si>
    <t xml:space="preserve"> Solving the puzzle normally: We have a square table with four people sitting on the sides - North, East, South, and West. A key is hidden under the chair of the person sitting to the left of the West person, looking from above. So the West person sits in the Northwest position. The one to the left of the West person will be in the Northeast position. Hence, the person with the key is sitting in the Northeast corner.
Checking if the reasoning satisfies all clues: Since the North is up, East is right, South is down, and West is left in the normal map orientation, we can find that the Northwest corner is indeed West. As for the Northeast corner, it corresponds to the person in the East position. Therefore, our solution is correct.
FINAL_ANSWER: Person in the Northeast corner</t>
  </si>
  <si>
    <t>23v2</t>
  </si>
  <si>
    <t xml:space="preserve"> First let's solve the problem step by step.
1. Identify the positions of the people.
2. Determine where the key is based on the given information.
3. Identify the person with the key.
Step 1: Identify the positions of the people.
- North (N)
- East (E)
- South (S)
- West (W)
Step 2: Determine where the key is based on the given information.
The key is hidden under the chair of the person who is sitting to the left of West. In this case, W's right is E's left since they are sitting side by side. So, we need to find the person next to E from the right.
Step 3: Identify the person with the key.
East is sitting beside South, making South the person sitting to the left of East. Therefore, the person with the key is South (S).
FINAL_ANSWER: &lt;Answer&gt; South (S) has the key.</t>
  </si>
  <si>
    <t>23v3</t>
  </si>
  <si>
    <t xml:space="preserve"> Analyze the positions step by step. We have people sitting at North, East, South, and West (assuming that these represent directions). The person next to the West side should be sitting at the position between West and North. This person is sitting at the North side. Now let's find the person to the left of this North-side person, who should be sitting at the West side. That means this person has the key since they are in the position with the key according to the initial statement.
FINAL_ANSWER: Person sitting at the West side</t>
  </si>
  <si>
    <t>23e1</t>
  </si>
  <si>
    <t xml:space="preserve"> Clues: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From the information given, we know that the four people are placed in the table according to the labels North, East, South, and West. Since West is assumed to be left from your top-down view, the person sitting to its left would be the one next to it. Therefore, the person who has the key is the one sitting with the label of East.
FINAL_ANSWER: The person with the key is the one sitting with the label East.</t>
  </si>
  <si>
    <t>23e2</t>
  </si>
  <si>
    <t xml:space="preserve"> Clues: 
1. Viewing a square table from above
2. Four people sit on the sides labeled North, East, South, and West
3. Standard map orientation: North is up, East is right, South is down, West is left
4. A key is hidden under the chair of the person who is sitting to the left of West from your top-down perspective
Reasoning: From the top-down perspective, we are focusing on the positioning of West. We know that the person sitting to the left of West has the key under their chair. Now, we need to determine who that person is among North, East, and South. To do this, let's reorder the seating positions according to their proximity to West's left side. Going counterclockwise around the table, we have North, West, East, and finally South. Considering the left side of West, it would be directly left, which is West again. However, we are looking for the person who is sitting 'to the left' of West in our top-down view, not immediately left but further to the left when going around the table. This would refer to the person next to West. Since our top-down viewing direction goes clockwise from North, we will also see the order reversed. Thus, the person who is sitting to the left of West when considering the clockwise progression is East.
FINAL_ANSWER: East</t>
  </si>
  <si>
    <t>23e3</t>
  </si>
  <si>
    <t xml:space="preserve"> Clues used: Top-down view of a square table with four people named North, East, South, and West. Standard map orientation (North up, East right, South down, West left). The key is hidden under the chair of the person to the left of West from the given top-down perspective.
Reasoning: Since we're looking at the table from a top-down perspective, we can visualize it like this: [W][S][E][N] where W stands for West, S for South, E for East, and N for North. To find the person sitting on the chair next to the one with the key, we need to find the person sitting to the left of 'West'. The person to the left of 'West' in the given order would be 'S' or South. So the person with the key is sitting on the chair designated for 'South'. FINAL_ANSWER: South</t>
  </si>
  <si>
    <t>23g1</t>
  </si>
  <si>
    <t xml:space="preserve"> Clues:
1. Viewing a square table from above.
2. Four people sit on the sides labeled North, East, South, and West.
3. Assume standard map orientation: North is up, East is right, South is down, West is left.
4. A key is hidden under the chair of the person who is sitting to the left of West, from your top-down perspective.
Interpretations:
1. This is about a square table seen from an elevated position where you can see the entire surface.
2. There are four people occupying the sides of the table which have labels North, East, South, and West.
3. The orientation of these directions follows the usual understanding of a map - i.e., North is at the top, East is to the right, South is at the bottom, and West is to the left.
4. The key's location is linked to one of the persons seated around the table. It's mentioned that the person to the left of West, seen from the 'top-down' angle, would be the owner of the chair where the key has been concealed.
Solution (FINAL_ANSWER): From the given clues, the person sitting to the left of West from your 'top-down' perspective would be the one owning the chair with the hidden key. To find this person, we need to analyze the seating arrangement relative to West. In a clockwise direction starting from West, the people are: South, East, North. The person sitting to the left of West in this sequence would be South. So, FINAL_ANSWER: Person_South has the key.</t>
  </si>
  <si>
    <t>23g2</t>
  </si>
  <si>
    <t xml:space="preserve"> Clue 1: You are viewing a square table from above
Clue Interpretation: The viewpoint is looking at a square table from directly above it
Clue 2: Four people sit on the sides labeled North, East, South, and West
Clue Interpretation: These four individuals have designated positions around the table, one for each cardinal direction
Clue 3: Assume standard map orientation: North is up, East is right, South is down, West is left
Clue Interpretation: For easier understanding, treat the table as if it's on a standard world map where North is upward, East points to the right, South points downward, and West points to the left
Clue 4: A key is hidden under the chair of the person who is sitting to the left of West, from your top-down perspective
Clue Interpretation: To determine who has the key, consider the location of West's side chair and the position of the individual sitting in that chair from a bird's-eye view
Solution: With the given information, we have to identify the person sitting to the left of West and to their right from the top-down view. Since the table is a square, they are sitting diagonally across from one another. To the left of West would be someone sitting in the East position. The person to the right of the East person is in the South position. Therefore, the person with the key should be the one in the East position, as they are the person who will have the chair under which the key is hidden. FINAL_ANSWER: East</t>
  </si>
  <si>
    <t>23g3</t>
  </si>
  <si>
    <t xml:space="preserve"> Clue 1: You are viewing a square table from above. This tells us about the visual aspect. We're looking at the table from a birds-eye view.
Clue 2: Four people sit on the sides labeled North, East, South, and West. This gives information about their positions and labels. North is up, East is right, South is down, West is left. This also implies we're using a standard map orientation where North is at the top, East to the right, South at the bottom, and West to the left.
Clue 3: A key is hidden under the chair of the person who is sitting to the left of West, from your top-down perspective. This clue tells us how to find the location of the hidden key. The person whose left side is adjacent to the position called "West" should have the key hidden under their chair, considering the top-down perspective.
FINAL_ANSWER: The person with the key is not explicitly mentioned in the given information. To find out who has it, we can start from the West side and follow the left direction sequentially towards North, East, or South, stopping when we reach a person (in the top-down perspective). The person closest to the left of West would be the one with the key.</t>
  </si>
  <si>
    <t>23s1</t>
  </si>
  <si>
    <t xml:space="preserve"> Let's create the relationships in the given context.
- A person is sitting at the specific position (North, East, South, or West)
- The person to the left of West is related to the person finding the key.
- The key is hidden under the chair of a person.
Now, let's represent these relationships using a structure similar to SQL queries.
Table: people_positions
- id: unique identifier for each person
- name: first name of the person
- position: position they are sitting at (North, East, South, or West)
Table: key_location
- position: where the key is located (North, East, South, or West)
- left_person: the person to the left of this position, and the one who will find the key if it's their chair it's under.
Using these relationships, we can form a query to determine who has the key. Assuming the person to the left of West is going to look for the key under their chair, we have:
SELECT key_location.left_person
FROM people_positions
JOIN key_location ON (people_positions.position = key_location.position)
WHERE people_positions.position = 'West';
FINAL_ANSWER: &lt;Answer&gt; will be the name of the person selected using the mentioned query. In case there's no person sitting left to West, the answer will remain "No one".</t>
  </si>
  <si>
    <t>23s2</t>
  </si>
  <si>
    <t xml:space="preserve"> Let's break it down into relationships first. 
1. Viewing a square table from above (Top-down perspective): not needed for solving the puzzle.
2. Four people sit on the sides: (North, East, South, West)
3. Standard map orientation: North is up, East is right, South is down, West is left.
4. Key position: Hidden under the chair of the person sitting to the left of West from your view.
5. Finding the answer: Identify the person who is sitting to the left of West.
Now, let's use the relationship structure to formulate the answers.
1. A person is sitting to the left of West: West&lt;Person
2. Person is sitting on the side labeled 'West': Person=West
3. From these two relationships, we can infer that the person sitting to the left of West while being on the side labeled 'West' is actually the same person - which means the person sitting to the left of West has the key.
FINAL_ANSWER: &lt;The person with the key&gt; is West (since she is both sitting to the left of West and on the side labeled 'West')</t>
  </si>
  <si>
    <t>23s3</t>
  </si>
  <si>
    <t xml:space="preserve"> First, let's break the puzzle into relationships and translate them into structured language.
1. A person sits on the 'North' side - This person will be referenced as N.
2. A person sits on the 'East' side - This person will be referenced as E.
3. A person sits on the 'South' side - This person will be referenced as S.
4. A person sits on the 'West' side - This person will be referenced as W.
5. The key is under the chair of the person sitting to the left of 'West' (W).
6. From the top-down view, W is left to N, which means N is left of W. So, we have N&lt;W.
7. We need to find who has the key related to the positions N, E, S, and W.
Now, let's use the translated relationships to solve the puzzle.
The goal is to find out who has the key. From the given relationships, we know N is left of W (N&lt;W). Therefore, the person in question (who has the key) is between W and N, leaning towards the left side of W due to the top-down view. Comparing all the sides, the position between these two sides is occupied by N.
FINAL_ANSWER: N</t>
  </si>
  <si>
    <t>24z1</t>
  </si>
  <si>
    <t>A locked box can only be opened with one of three colored keys: Red, Green, or Purple. A note provides clues: â€œThe correct key is neither the lightest nor the darkest color.â€ â€œRed is darker than Green.â€ â€œPurple is darker than Red.â€ Which key opens the box?</t>
  </si>
  <si>
    <t xml:space="preserve"> The final answer is Green. The given information suggests that none of the lightest or darkest colors can open the box. Since Green is not as dark as Red and not as light as Red, it is neither too dark nor too light, making it the correct key to unlock the box.</t>
  </si>
  <si>
    <t>24z2</t>
  </si>
  <si>
    <t xml:space="preserve"> The final answer is that the key to open the box is either Green or Purple, as they are neither the lightest nor the darkest color and follow the given order of colors being darker. However, the exact key remains unknown without further information.</t>
  </si>
  <si>
    <t>24z3</t>
  </si>
  <si>
    <t xml:space="preserve"> The final answer is the Green key, as it is neither the lightest nor the darkest color among Red, Green, and Purple. Additionally, Green is not darker than either Red or Purple (according to the given clues).</t>
  </si>
  <si>
    <t>24c1</t>
  </si>
  <si>
    <t xml:space="preserve"> To solve this puzzle, we will break down each clue and analyze them to narrow down our options for selecting the appropriate key.
1. "The correct key is neither the lightest nor the darkest color." This statement eliminates the possibility that the key could be either the lightest (red) or the darkest (purple). Now, we are left with just one option - the one in the middle, which is green.
2. "Red is darker than Green." We know that red is not the correct key since it is not the lightest and it's also not the darkest. However, the fact that red is darker than green implies that green is a lighter shade compared to red. Given that we have already established that the correct key should be neither the lightest nor darkest, this leads us to believe that red may be somewhat close to the right color. The best candidate would be the one that is even slightly lighter than green. 
3. "Purple is darker than Red." This clue further reinforces the idea that the correct key should be closer to red because purple is darker than both red and green. This makes red the least dark among the three colors, possibly the closest to the ideal key.
Considering all the clues and analyzing the relationship between the colors, we can infer that given the puzzle's constraints, it is more likely that the box can be opened with the Red colored key. It's not necessarily the correct key according to the note, but we can conclude that Red might be the closest option from the provided information. However, we need to keep in mind that without any additional context or clues, we cannot guarantee that the Red key would actually open the box.</t>
  </si>
  <si>
    <t>24c2</t>
  </si>
  <si>
    <t xml:space="preserve"> To solve this puzzle step by step, let's analyze the given information and eliminate colors based on their relative order in terms of darkness.
1. The note states "The correct key is neither the lightest nor the darkest color." This means we have to find a key that is not the lightest (Red) and not the darkest (Purple).
2. "Red is darker than Green" implies that Green is lighter than Red. Since we know Red is not the lightest (Red), then it should also not be the second lightest (Green).
3. "Purple is darker than Red" implies that Red is lighter than Purple. As mentioned before, since Red is not the lightest, it can't be the second darkest either (Purple).
4. Based on these relationships, we are left with just one remaining color - Green.
Final answer: The key that opens the box is Green. Our reasoning was based on the provided information and eliminating options by understanding the relative darkness of colors. In the end, Green was the only color left that could be the correct key because it wasn't the lightest nor the darkest, and it didn't match the color relationships given in the clues.</t>
  </si>
  <si>
    <t>24c3</t>
  </si>
  <si>
    <t xml:space="preserve"> Let's analyze the given information step by step to determine which key opens the box.
1. We have three colored keys: Red, Green, and Purple. Our goal is to find the key that fits the lock.
2. The clue "The correct key is neither the lightest nor the darkest color" suggests that the right key falls in between the two extremes.
3. The clue "Red is darker than Green" implies that since Green is lighter than Red, they are not in the same position (i.e., not both being the darkest or lightest).
4. The clue "Purple is darker than Red" also indicates that since Purple is darker than Red, Red cannot be the darkest color (or it would be darker than Purple).
Now, let's consider these relationships. Since Red is darker than Green, but not the darkest color among the given options, we can infer that Green might be a contender. However, since Red is also darker than Purple, it suggests that Purple cannot be the darkest color either. This leaves us with one last option: Green being the lightest color in relation to the two other colors, and not being the darkest one (which contradicts it being the darkest).
Final Answer: Based on the given clues, the Green key likely opens the locked box as it is neither the lightest nor the darkest color among Red, Green, and Purple.</t>
  </si>
  <si>
    <t>24d1</t>
  </si>
  <si>
    <t xml:space="preserve"> Step 1: Identify all key clues in the puzzle:
- Locked box requires one of three colored keys: Red, Green, or Purple.
- Note gives information about colors.
- "The correct key is neither the lightest nor the darkest color."
- "Red is darker than Green."
- "Purple is darker than Red."
Step 2: Interpret the meaning of each clue:
- The correct key should not be the lightest or darkest color.
- The relationship between colors is given (Red is darker than Green, Purple is darker than Red).
Step 3: Combine the clues to reach a conclusion:
Since we know that Red is darker than Green and Purple is darker than Red, Purple must be the darkest out of these three colors. Now we have to find a color that is not the lightest nor the darkest (excluding Yellow because it is not mentioned). From the given choices, Green is the middle color being neither the lightest (Yellow) nor the darkest (Purple), and therefore, Green is the most suitable key to unlock the box.
FINAL_ANSWER: The answer is Green.</t>
  </si>
  <si>
    <t>24d2</t>
  </si>
  <si>
    <t xml:space="preserve"> Step 1: Key clues in the puzzle: Locked box, three colored keys (Red, Green, and Purple), Red is darker than Green, Purple is darker than Red, "The correct key is neither the lightest nor the darkest color".
Step 2: Interpretation of clues: Locked box - requires a specific key to open. Three colored keys - we have Red, Green, and Purple. "The correct key is neither the lightest nor the darkest color" - implies that we need a middle or intermediary color between the lightest and darkest. "Red is darker than Green" - Red is more towards the dark side compared to Green. "Purple is darker than Red" - Purple is more towards the dark side compared to Red.
Step 3: Combining clues: Since Red is darker than Green but not the lightest, and Purple is darker than Red but not the darkest, it seems that Green might be the most suitable option as it's close to being the lightest color among the three. However, without more information, it's challenging to determine the exact key opening the box. The final answer would still involve guessing to some extent since we don't have a definitive solution.
FINAL_ANSWER: &lt;Answer&gt; One possible solution: Green, another possible solution: Unable to determine conclusively due to limited information.</t>
  </si>
  <si>
    <t>24d3</t>
  </si>
  <si>
    <t xml:space="preserve"> Step 1: Key clues - Locked box, three colored keys (Red, Green, Purple), "The correct key is neither the lightest nor the darkest color", "Red is darker than Green", "Purple is darker than Red".
Step 2: Interpret the clues - "The correct key is neither the lightest nor the darkest" means it should be somewhere in between those two. "Red is darker than Green" and "Purple is darker than Red" establish a color order: Lightest - Green - Red - Purple - Darkest.
Step 3: Combining the clues - Since the correct key can't be the lightest or darkest, we can eliminate those options from the given order. The key can only be Green, Red, or Purple. However, the color order also implies that Green is lighter than any other color. So, since Green is both the second lightest and not the darkest, it fulfills the condition mentioned.
FINAL_ANSWER: Green</t>
  </si>
  <si>
    <t>24v1</t>
  </si>
  <si>
    <t xml:space="preserve"> First let's solve it step by step. We have three keys - Red, Green and Purple. The order of darkness among these colors is Red (darkest) -&gt; Purple -&gt; Green (lightest). Now let's follow the given clues: "The correct key is neither the lightest nor the darkest color." This means we should avoid the darkest or the lightest colors. Since Green is lightest and Red is darkest, we can eliminate them. Now, there is only one left - Purple. "Red is darker than Green." "Purple is darker than Red." These clues don't give us additional information to make a decision. It just reiterates the order of darkness from Red to Green to Purple. 
FINAL_ANSWER: Purple</t>
  </si>
  <si>
    <t>24v2</t>
  </si>
  <si>
    <t xml:space="preserve"> Analyzing the given information:
1. The correct key is not the lightest nor darkest color.
2. Red is darker than Green.
3. Purple is darker than Red.
Now, we need to deduce the relationship between the colors and their positions in the list (Red, Green, Purple). Since Red is darker than Green, it implies that Green must be lighter than Red. If Green is lighter than Red, then it must be lighter than Purple too (since Purple is darker than Red). Therefore, we can conclude that the position of the colors roughly follows a sequence of Lighter &lt; Green &lt; Darker &lt; Red &lt; Purple &lt; Darkest.
Now, to find the key that is neither the lightest nor the darkest, we start by eliminating the two outer colors in our sequence. The darkest color would be Purple, and the lightest would be Green. This leaves us with only one color, which is neither the lightest nor the darkest.
FINAL_ANSWER: Purple</t>
  </si>
  <si>
    <t>24v3</t>
  </si>
  <si>
    <t xml:space="preserve"> First, I will analyze the given clues and find relationships between colors:
1. The correct key is neither the lightest nor the darkest color.
2. Red is darker than Green.
3. Purple is darker than Red.
We know there are three colors - Red, Green, and Purple. We also know their relative darkness order, which is Green (lightest), Red, Purple (darkest).
Now, we need to consider the fact that the right key must not be the lightest or the darkest one. This leaves us with just one possible choice - the middle color, which is Red. Since it's not the lightest or darkest, it should satisfy the constraints.
FINAL_ANSWER: Red</t>
  </si>
  <si>
    <t>24e1</t>
  </si>
  <si>
    <t xml:space="preserve"> We have the following clues:
1. The correct key is neither the lightest nor the darkest color.
2. Red is darker than Green.
3. Purple is darker than Red.
We know that the colors are Red, Green, and Purple, and the order of their darkness is Red &gt; Green &gt; Purple. Let's eliminate the two most extreme options based on the notes about the darkness level. Since we don't want the lightest or darkest key, we can eliminate Red (the darkest) and Green (the lightest). This leaves us with Purple as the remaining option.
FINAL_ANSWER: &lt;Purple&gt;</t>
  </si>
  <si>
    <t>24e2</t>
  </si>
  <si>
    <t xml:space="preserve"> Clue 1: The correct key is neither the lightest nor the darkest color.
Clue 2: Red is darker than Green.
Clue 3: Purple is darker than Red.
We have to determine which color is not the lightest nor darkest among the colors Red, Green, and Purple. Since Red and Green have a clear hierarchy in darkness (Red being darker), this leaves Purple as the middle point or average in terms of darkness. There's no direct information about Purple's relation to the lightest color, but considering it's the average in darkness, it might have a higher chance of being the lightest color as well.
FINAL_ANSWER: Purple</t>
  </si>
  <si>
    <t>24e3</t>
  </si>
  <si>
    <t xml:space="preserve"> Clue list:
1. A locked box can only be opened with one of three colored keys: Red, Green, or Purple.
2. The correct key is neither the lightest nor the darkest color.
3. Red is darker than Green.
4. Purple is darker than Red.
Step 1: Understand which colors are not the darkest or the lightest. Since the correct key is not the lightest nor darkest, we know it can't be Red (it's mentioned to be the darkest color among the three) and it cannot be Green (it's not specified to be lightest or mentioned at all).
Step 2: Identify the remaining possible color. If we eliminate Red and Green, we are left with Purple as the final option.
FINAL_ANSWER: Purple</t>
  </si>
  <si>
    <t>24g1</t>
  </si>
  <si>
    <t xml:space="preserve"> 
1. Clue: The correct key is neither the lightest nor the darkest color.
2. Interpretation: This means that only a middle shade of the three colors (Red, Green, Purple) would work to unlock the box, excluding the extreme ends of the spectrum.
3. Solving: Since we know that Red is darker than Green and Purple is darker than Red, we can infer the order of lightness. Green is likely the lightest, followed by Red and then Purple. To find the final answer, let's start from the darkest end: Purple. If Purple is not the correct key, the other two options are Red and Green. Green is not the darkest, but it's not the lightest either. So it can be the correct key. FINAL_ANSWER: Green</t>
  </si>
  <si>
    <t>24g2</t>
  </si>
  <si>
    <t xml:space="preserve"> Interpret each clue:
1. "The correct key is neither the lightest nor the darkest color." - This tells us to find a color that is not the lightest or darkest.
2. "Red is darker than Green." - Comparing Red and Green, Red is more on the darker side.
3. "Purple is darker than Red." - Comparing Purple and Red, Purple is even darker.
Using these interpretations, we can deduce the answer step by step: Since Red is darker than Green and Purple is darker than Red, this leaves Green as the remaining color that is not the lightest nor the darkest. Therefore, Green is the key that opens the box.
FINAL_ANSWER: &lt;Answer&gt; Green</t>
  </si>
  <si>
    <t>24g3</t>
  </si>
  <si>
    <t xml:space="preserve"> Clue 1: A locked box can only be opened with one of three colored keys: Red, Green, or Purple.
This gives us the information about the box and its keys.
Clue 2: "The correct key is neither the lightest nor the darkest color."
We can determine that we need to find the medium key between the lightest, darkest, and Purple (which is not the darkest).
Clue 3: "Red is darker than Green."
We know Red is darker than Green, and it's also darker than Purple. So Green might be a candidate for the medium key.
Clue 4: "Purple is darker than Red."
This further supports Green being a good option since Purple is darker than both Red and Green, but Green is in the middle between Red and Purple.
FINAL_ANSWER: Green</t>
  </si>
  <si>
    <t>24s1</t>
  </si>
  <si>
    <t xml:space="preserve"> Firstly, translate the relationships in the given information and clues to a structured relationship format for easier understanding:
1. Locked box: only accessible through one of the three keys (Red, Green, or Purple)
2. Key's color: has an attribute - color
   - Red's color is red
   - Green's color is green
   - Purple's color is purple
3. Lightness: not the main focus of the puzzle, but useful to understand the relationships
   - Each color has its own lightness attribute, which we don't need to know as they are relative to each other
4. Comparing colors: used for deducing the position of the colors
   - Red is darker than Green
   - Purple is darker than Red
   - The correct key is neither the lightest nor the darkest color
Now, let's analyze the problem step-by-step by finding the answer using the provided information and structured relationships:
1. The clue states "The correct key is neither the lightest nor the darkest color." We can rule out Red and Green as options, since both are the lightest and the darkest colors in the color spectrum.
2. The remaining color is Purple. Since it's a different color from Red and Green, it cannot be the same as either of them. This means that Purple must be the correct key to open the locked box.
FINAL_ANSWER: &lt;Answer&gt; = Purple</t>
  </si>
  <si>
    <t>24s2</t>
  </si>
  <si>
    <t xml:space="preserve"> Analyzing the given relationships:
1. A locked box can only be opened with one of three colored keys (Red, Green, or Purple)
2. The correct key is neither the lightest nor the darkest color
3. Red is darker than Green
4. Purple is darker than Red
Now, let's translate these statements into a structured format:
1. BOX_OPENING: BOX is connected to one KEY out of RED, GREEN, PURPLE. This represents that a specific key should be used to open the box.
2. DARKNESS: CORRECT_KEY has a certain shade (not the lightest nor darkest). This shows the context we're looking for in terms of the key's color.
3. SHADES: RED is shaded between GREEN and another color. It suggests the order of darkness among these colors.
4. SHADES: PURPLE is shaded between RED and another color. It also reveals the relationship of shade among these colors.
Let's use these structured relationships to solve the puzzle:
1. The only known information is that RED is not the right key because it's the darkest among the colors (Red is darker than Green, which means Red is more towards being darkest than Green). We don't have enough information to determine if GREEN or PURPLE are the correct keys.
2. If we apply the same logic from the first point to PURPLE, PURPLE would also be considered too dark since it's darker than RED (Reds are darker than Greens, and PURPLEs are darker than REDs).
3. It leaves us with only the option of GREEN as the correct key, as it's not the lightest or the darkest, but is a middle ground between the other two colors.
FINAL_ANSWER: &lt;Green&gt; opens the box.</t>
  </si>
  <si>
    <t>24s3</t>
  </si>
  <si>
    <t xml:space="preserve"> Create entities and relationships:
1. Locked Box - has_key: Red_Key, Green_Key, Purple_Key
2. Key - has_color: Red, Green, Purple
3. Color - has_attribute: Lightness, Darkness
4. Color - has_relation: Red &lt; Green, Purple &lt; Red
5. Note - contains_clue: Correct Key Not Lightest, Correct Key Not Darkest, Red Darker Than Green, Purple Darker Than Red
6. Clue - affects: Correct Key
7. Darkness - attribute_of: Red, Green, Purple
8. Lightness - attribute_of: Red, Green, Purple
Now solving the puzzle using these relationships:
1. From the note, we learn that the correct key is neither the lightest nor the darkest color.
2. We are given information about the relationship between colors regarding their darkness and lightness. Red is darker than Green, and Purple is darker than Red.
3. Based on this knowledge, we can infer the following relationships: If Red &gt; Green and Purple &gt; Red, then Red is not darker than Green, and Red is not darker than Purple.
4. We also know that since Red is darker than Green, Red is not the lightest color, and it is not the darkest either. The same goes for Purple.
5. So to find the answer, we need to find a key that is neither darker than any other nor lighter than any other. This would be considered in-between or of a "middle" level of darkness/lightness among all the keys (Red, Green, and Purple).
6. Among these attributes, we have two: Lightness and Darkness. Since the middle state is not defined for both, we must analyze them one by one.
   a. For Lightness, there is no in-between state. One color will always be lighter or darker than another. So, this attribute doesn't help in finding the middle-level key.
   b. For Darkness, there might be an in-between state. Let's say if Red is the middle state, it should be neither darker than Green nor darker than Purple. We now have a clue to find the</t>
  </si>
  <si>
    <t>25z1</t>
  </si>
  <si>
    <t>You find three switches labeled 1, 2, and 3. Only one opens the final door. A message reads: â€œSwitch 1 works only if Switch 3 does not.â€ â€œExactly one switch is functional.â€ â€œSwitch 2 is not the correct one.â€ Which switch opens the door?</t>
  </si>
  <si>
    <t xml:space="preserve"> The final answer is Switch 1. Since Switch 2 is not the correct one, it means that one of the remaining switches (either 1 or 3) has to be the right one to work. As per the first statement, Switch 1 works only if Switch 3 does not, which implies there's no condition for Switch 1 to function properly when Switch 3 is working. So, in absence of both conditions, we are left with Switch 1 being the only option that can potentially open the door.</t>
  </si>
  <si>
    <t>25z2</t>
  </si>
  <si>
    <t xml:space="preserve"> The final answer is that you should try Switch 1 as it is only functional when Switch 3 is not used. Since only one switch is supposed to be working, and Switch 2 is not the correct one, we can deduce that either Switch 1 or Switch 3 are the potential options. In this case, Switch 1 would be the most likely option because we have no information regarding the effect of Switch 3 when both Switches 1 and 3 are on. Therefore, Switch 1 would open the final door when used while the other two switches are off.</t>
  </si>
  <si>
    <t>25z3</t>
  </si>
  <si>
    <t xml:space="preserve"> The final answer is Switch 1. Since Switch 2 is not the correct one, and we are left with only two other options (Switch 1 and Switch 3), we can deduce that Switch 1 must work since it doesn't depend on Switch 3's status and we have to choose exactly one of the remaining switches for the door to open.</t>
  </si>
  <si>
    <t>25c1</t>
  </si>
  <si>
    <t xml:space="preserve"> To solve this puzzle step by step, let's analyze each given piece of information and eliminate options based on them:
1. "Switch 1 works only if Switch 3 does not." - If we need to open the door with Switch 1, Switch 3 should not be turned on. If Switch 3 is the right one for opening the door, then Switch 1 should not be on.
2. "Exactly one switch is functional." - This means there is only one switch that can open the door, regardless of which one it is. This also implies that both Switch 1 and Switch 3 cannot simultaneously work or function.
3. "Switch 2 is not the correct one." - We can rule out Switch 2 as a possibility for opening the door.
Now, let's evaluate the remaining switches and their possible roles in relation to Switch 1 and Switch 3. We know that one of them must be the correct switch to open the door. Since Switch 1 is conditionally functional (depending on Switch 3), and Switch 2 is explicitly stated as incorrect, that leaves us with only one option â€“ Switch 3.
So, the final answer is that Switch 3 is the one that opens the door, considering the provided context and rules. The reasoning lies in understanding the interdependence between the switches mentioned in the puzzle and using the given information to eliminate other switches from the possibilities.</t>
  </si>
  <si>
    <t>25c2</t>
  </si>
  <si>
    <t xml:space="preserve"> Let's analyze each statement step by step to understand the logic behind finding the switch that will open the door.
Statement 1: "Switch 1 works only if Switch 3 does not."
This implies that when Switch 3 is turned on, Switch 1 should be off, and vice versa. 
Statement 2: "Exactly one switch is functional."
This tells us that only a single switch is required to open the door, meaning the others are unnecessary. However, it doesn't specify which of the three mentioned switches is functional.
Statement 3: "Switch 2 is not the correct one."
This only excludes Switch 2 from being the functional switch, leaving the other two possibilities, which we can now focus on.
Now, let's consider the relationship between Switches 1 and 3 as per Statement 1. We know that either one or the other but not both can be used. This could potentially make either of them the single, functional switch needed for opening the door.
Since Switch 2 is not the correct one, that leaves us with the options between Switch 1 and Switch 3. As Switch 2 can't be the right choice, we must have either a scenario in which Switch 1 is on while Switch 3 is off or vice versa, making one of the other two switches the single functional switch.
In conclusion, there's insufficient information to determine which specific switch opens the door, but considering the given constraints, we can say that either Switch 1 or Switch 3 might be the one to open the door as they are the potential candidates due to the relationships among the switches. However, we would need more context to pinpoint the exact functional switch in this puzzle.</t>
  </si>
  <si>
    <t>25c3</t>
  </si>
  <si>
    <t xml:space="preserve"> To determine which switch opens the door, we must analyze the given information step by step and use logical reasoning to narrow down our options.
1. "Exactly one switch is functional." This means that out of the three switches (1, 2, and 3), only one of them can work. 
2. "Switch 2 is not the correct one." Since we're given that one of the switches isn't Switch 2, this leaves us with two possible switches - 1 and 3. 
3. "Switch 1 works only if Switch 3 does not." This tells us that if Switch 3 is working, then Switch 1 will not open the door. If Switch 3 is not working, Switch 1 will. However, because we know at least one switch must work, it doesn't directly tell us about the case where both switches are off or both on. 
Now let's consider a scenario. Let's say Switch 3 is not working, meaning it's in its non-functional state. In this case, since Switch 1 works when Switch 3 doesn't, Switch 1 would be the switch that opens the door. 
However, since we're also considering a situation where Switch 3 might be working, it could potentially block Switch 1 from being the functional switch as per the given statement - "Switch 1 works only if Switch 3 does not." If Switch 3 is functioning and Switch 2 is not, then Switch 3 would be the only functioning switch, making it the one to open the door. 
The problem statement has inherent contradictions and doesn't allow for complete resolution. Therefore, there's no definitive answer to which specific switch will open the door based on the information provided. It may vary depending on the exact states of the switches.</t>
  </si>
  <si>
    <t>25d1</t>
  </si>
  <si>
    <t xml:space="preserve"> Step 1: Key clues - Three switches (1, 2, 3), one opens the door, only one switch is needed, Switch 1 condition, Switch 2 being incorrect, Exactly one switch is functional.
Step 2: Interpreting clues - Since one switch opens the door and only one needs to be working, the solution should involve one of them. The Switch 1 condition is about it working when Switch 3 is not. This implies that Switch 3 could work or not without affecting Switch 1. Switch 2 being incorrect means it can't be the correct answer. Exactly one switch is functional states that there are functional switches among these three, which can help in determining the correct one.
Step 3: Combining clues - From the clues given, we can rule out Switch 2 because it is explicitly said to be incorrect. We know that only one needs to function for the door to open, so we have two remaining options, which are Switch 1 and Switch 3. We have information about Switch 1 working only when Switch 3 doesn't work, which suggests they might need to be used in a specific combination to have one of them open the door. However, the clues don't provide any clear information on how to use them together, leaving us with limited information.
FINAL_ANSWER: &lt;Possible Answers&gt; - Switch 1 or Switch 3, but not both; Switch 1 might work if Switch 3 isn't functional; Switch 3 might work if Switch 1 isn't functional. The exact solution depends on the specific puzzle setup or further instructions provided.</t>
  </si>
  <si>
    <t>25d2</t>
  </si>
  <si>
    <t xml:space="preserve"> Step 1: Key clues - 
- Three switches labeled 1, 2, and 3
- Switch 1 works only if Switch 3 does not
- Exactly one switch is functional
- Switch 2 is not the correct one
Step 2: Interpret the clues - 
- Switches 1 and 3 are related, one has to be off for the other to work
- There's only one functional switch among these three
- Switch 2 is wrong
Step 3: Combining clues - 
Given that Switch 2 is not the correct one, we can eliminate it from the options. That leaves us with only two switches (1 and 3). Since it's stated that exactly one switch is functional, we can deduce that either Switch 1 or Switch 3 is the right choice because both of them can be functional depending on the state of the other. 
FINAL_ANSWER: &lt;Answer&gt; Switch 1 or Switch 3 can open the door as only one needs to be functional while the other remains in an unspecified state.</t>
  </si>
  <si>
    <t>25d3</t>
  </si>
  <si>
    <t xml:space="preserve"> Step 1: Key clues in the puzzle - There are three switches (1, 2, and 3), one switch opens the final door, Switch 1 condition (it works only if Switch 3 doesn't work), Switch 3 not being Switch 1 (implying it is an alternative), Exactly one switch is functional, Switch 2 is not the correct one.
Step 2: Interpretation of clues - 
- Switch 1 can be considered an alternative option to open the door with Switch 3. If both are on, it won't work.
- Switch 3 is another option, but it has its own condition for functioning.
- The statement "exactly one switch is functional" implies that either Switch 1 or Switch 3 can open the door.
- Switch 2 is eliminated as a solution.
Step 3: Combining the clues - 
- From the conditions and given information, we have two potential solutions: Switch 1 or Switch 3.
- Since Switch 2 is not the correct option, we only need to focus on the remaining two.
- As "exactly one switch is functional," we are left with either Switch 1 or Switch 3 that will open the door.
Final Answer: FINAL_ANSWER: &lt;Answer&gt; Switch 1 or Switch 3 can open the door.</t>
  </si>
  <si>
    <t>25v1</t>
  </si>
  <si>
    <t xml:space="preserve"> First, let's analyze the clues step by step.
1. "Switch 1 works only if Switch 3 does not." This implies that either Switch 1 or Switch 3 can be active but not both simultaneously, and for Switch 1 to work, Switch 3 must be inactive.
2. "Exactly one switch is functional." This means that only one of these switches needs to be in the working state for the final door to open.
3. "Switch 2 is not the correct one." This tells us that among Switch 1, Switch 2, and Switch 3, Switch 2 doesn't need to be considered as the one to open the door.
Now, let's use this reasoning to find the correct answer. Since Switch 2 is not important, we are left with two potential options - Switch 1 and Switch 3. Switch 1 works when Switch 3 doesn't, which means we could have a case where Switch 1 is on and Switch 3 is off or a case where Switch 1 is off and Switch 3 is on. The scenario where exactly one is functional implies there's no need to consider the other switch to be in the same state. Therefore, in both cases, Switch 1 will ensure the door opens, regardless of the state of Switch 3.
Final Answer: FINAL_ANSWER: Switch 1</t>
  </si>
  <si>
    <t>25v2</t>
  </si>
  <si>
    <t xml:space="preserve"> FINAL_ANSWER: 1
Reasoning: Since Switch 2 is not the correct one, we can eliminate it. Now, we need to choose between Switch 1 and Switch 3. We know that "Switch 1 works only if Switch 3 does not." This means if Switch 3 is used, then Switch 1 can't be. So, we have to use either Switch 1 or Switch 3. The last statement is "Exactly one switch is functional." This confirms that only one of them can be used. Since we can't use both of them together, let's try each of them individually. If we use Switch 1, Switch 3 will be off, which doesn't break any rule. If we use Switch 3, Switch 1 must be off as well, following the same rule. In this case, using Switch 1 or 3 both works. As one of them has to open the door since exactly one is functional, Switch 1 or 3 can be considered the working switch. To find a specific answer, we can pick Switch 1 as it is mentioned that "Switch 1 works only if Switch 3 does not," making it independent from Switch 3. However, if you prefer to use Switch 3, the FINAL_ANSWER: &lt;Answer&gt; would be "3". This approach ensures the given clues are met.</t>
  </si>
  <si>
    <t>25v3</t>
  </si>
  <si>
    <t xml:space="preserve"> We first analyze the given information.
1. Exactly one switch is functional (implies either Switch 1, 2, or 3 work)
2. Switch 1 works only if Switch 3 doesn't work (conflict with #1)
3. Switch 2 is not the correct one (confirms Switch 1 or 3 are the right ones)
Now, let's consider each situation:
A. If Switch 1 is working and Switch 3 isn't, it would contradict the first rule because it implies Switch 3 is the one making Switch 1 functional.
B. If Switch 3 is working and Switch 1 isn't, we still have a contradiction with Rule 1.
C. If both Switches 1 and 3 are working simultaneously, this would also be a contradiction to the first rule where only one should be functional.
The only other option left would be if neither Switch 1 nor 3 work and Switch 2 is non-functional. However, this is contradicted by Rule 3. So, none of the possible scenarios align with the given rules completely.
FINAL_ANSWER: No answer can satisfy all the clues provided.</t>
  </si>
  <si>
    <t>25e1</t>
  </si>
  <si>
    <t xml:space="preserve"> Clues used:
1. Three switches labeled 1, 2, and 3.
2. Only one opens the final door.
3. A message says "Switch 1 works only if Switch 3 does not."
4. Another message says "Exactly one switch is functional."
5. "Switch 2 is not the correct one."
Reasoning:
We know that there is only one switch working, and it cannot be Switch 2 since it's said to be incorrect. This leaves us with Switches 1 and 3. The condition for Switch 1 to work is when Switch 3 doesn't, so the two switches might seem like they cannot work together. However, we have an additional clue stating that exactly one switch has to be functional to open the door.
FINAL_ANSWER: Switch 1</t>
  </si>
  <si>
    <t>25e2</t>
  </si>
  <si>
    <t xml:space="preserve"> Clues:
1. There are three switches labeled 1, 2, and 3.
2. Only one switch opens the final door.
3. The message says "Switch 1 works only if Switch 3 does not."
4. The message also says "Exactly one switch is functional."
5. The message states "Switch 2 is not the correct one."
Reasoning: Since only one switch needs to be functional to open the door and we have already eliminated two (Switch 2, not the correct one), there must be a single switch left that could work. Since both Switches 1 and 3 have conditions attached to their functionality, we can't determine which of them would work under the given circumstances. Therefore, it's not possible to definitively state which switch will open the door based solely on these clues. FINAL_ANSWER: We cannot determine which switch opens the door.</t>
  </si>
  <si>
    <t>25e3</t>
  </si>
  <si>
    <t xml:space="preserve"> Clues:
1. Three switches labeled 1, 2, and 3.
2. Only one opens the final door.
3. Switch 1 works only if Switch 3 does not.
4. "Exactly one switch is functional."
5. "Switch 2 is not the correct one."
Reasoning based on these clues:
- We need to identify the working switch.
- Since all switches are used in some logical condition, we can't infer that a single one is functional without context.
- The given statement "Exactly one switch is functional" contradicts with "Switch 2 is not the correct one," as it implies there might be a second switch not mentioned.
- We need more context or information about the working conditions of the switches to make a decision.
FINAL_ANSWER: Unable to determine the working switch due to unclear relationships between switches and insufficient data provided.</t>
  </si>
  <si>
    <t>25g1</t>
  </si>
  <si>
    <t xml:space="preserve"> Clue 1: You find three switches labeled 1, 2, and 3.
Clue 2: Only one opens the final door.
Clue 3: A message reads: "Switch 1 works only if Switch 3 does not."
Clue 4: "Exactly one switch is functional."
Clue 5: "Switch 2 is not the correct one."
Given the interpretation of each clue: Clue 1 sets up the scenario with three switches labeled 1, 2, and 3.
Clue 2 provides a goal which is to open the final door using one of these switches.
Clue 3 establishes a condition for Switch 1 to work, i.e., it must be used when Switch 3 is not working.
Clue 4 emphasizes that only one of the mentioned switches can be used, meaning either they all are not functional or only one of them will work.
Clue 5 tells us Switch 2 is not the right choice to use.
Now we need to find out the answer based on these interpretations. As per given conditions, we can eliminate Switch 1 and Switch 2 as they have specific rules or conditions limiting their functionality. That leaves Switch 3 as the only remaining option.
FINAL_ANSWER: Switch 3</t>
  </si>
  <si>
    <t>25g2</t>
  </si>
  <si>
    <t xml:space="preserve"> Clue 1: You find three switches labeled 1, 2, and 3. They are labeled in order from 1 to 3.
Clue 2: Only one opens the final door. The objective is to find a single switch among the three that would open the door.
Clue 3: A message reads: "Switch 1 works only if Switch 3 does not." This indicates that there's a relationship between the switches - either Switch 1 works when Switch 3 is off or vice versa. However, since we need only one working switch, it's important to note that they can't both be functional at the same time.
Clue 4: "Exactly one switch is functional." Here we know that only one of the switches can be active at any given time. The other two must be inactive. This adds to the complexity but provides us with a guideline to work within.
Clue 5: "Switch 2 is not the correct one." This tells us directly that Switch 2 is not the one we're looking for. It should be inactive while another working switch should be found.
FINAL_ANSWER: &lt;Answer&gt; Since Switch 2 is not the right one, that leaves only Switch 1 and Switch 3 as possible options. We'll analyze each case separately.
Case 1: If Switch 1 is on (i.e., working) and Switch 3 is off, then following the message we have, Switch 1 will work. In this case, the door opens and we can find the answer.
Case 2: If Switch 1 is off (i.e., not working) and Switch 3 is off, then the door would not open since no switch is providing a function to open the door. There's no answer in this scenario.
Case 3: If Switch 1 is on and Switch 3 is on, both are conflicting switches according to the message, so we can't consider them as both cannot be functional together. There is no answer here either.
Case 4: If Switch 1 is off and Switch 3 is on, then Switch 1 has to work. This case would match the conditions from the message. So, in this situation, the door opens</t>
  </si>
  <si>
    <t>25g3</t>
  </si>
  <si>
    <t xml:space="preserve"> Clue 1: You find three switches labeled 1, 2, and 3. Only one opens the final door.
- Three switches are present.
- These switches have labels 1, 2, and 3.
- One of them opens the final door.
- There's no clue on which switch opens the door.
Clue 2: A message reads: â€œSwitch 1 works only if Switch 3 does not.â€
- If Switch 1 is used, it can work when Switch 3 is not being used.
- It doesn't directly state that Switch 1 or 3 opens the door.
Clue 3: â€œExactly one switch is functional.â€
- Only one switch among these three can be active at a time.
- No information about which switch is functional.
Clue 4: â€œSwitch 2 is not the correct one.â€
- Switch 2 is not the right choice to open the door.
- This still doesn't reveal any useful information on which switch opens the door.
End with: FINAL_ANSWER: We cannot determine the answer due to lack of clear information on which switch opens the door.</t>
  </si>
  <si>
    <t>25s1</t>
  </si>
  <si>
    <t xml:space="preserve"> Let's first translate the given conditions into structured relationships.
- "You find three switches labeled 1, 2, and 3."
   - Switches: [1, 2, 3]
- "Only one opens the final door."
   - Rule: Exactly one of the switches should be in a specific state to open the door.
- "Switch 1 works only if Switch 3 does not."
   - Condition 1: If Switch 3 is off (not working), then Switch 1 will work.
   - Condition 2: If Switch 3 is on (working), Switch 1 won't work.
- "Exactly one switch is functional."
   - Invariant: There can be only one switch that works or is functional.
- "Switch 2 is not the correct one."
   - Rule: Switch 2 isn't related to the solution.
Now, let's consider these relationships and solve the puzzle.
Given that we have three switches, we'll first determine their states. Since Switch 2 is not mentioned as the correct one, it doesn't matter whether it's on or off.
Let's assume the following initial states for the remaining two switches: Switch 1 is on and Switch 3 is also on.
In this case, according to Condition 1, Switch 1 will work since Switch 3 is already on. However, it contradicts the invariant which states there can be only one functional switch. This means our initial states were incorrect because they led to multiple functional switches.
Let's try different initial states again. This time, let's assume Switch 1 is off and Switch 3 is off. In this scenario, neither condition affects each other. However, it still doesn't follow the invariant as no switch is on.
Finally, let's consider the initial state where Switch 1 is off, and Switch 3 is on. In this case, according to Condition 2, since Switch 3 is on, Switch 1 won't work. But it still conforms to the invariant, as only one switch (Switch 3) is working.
Based on the given conditions and relationships, the final door opens when Switch 3 is on, and</t>
  </si>
  <si>
    <t>25s2</t>
  </si>
  <si>
    <t xml:space="preserve"> First, let's translate the given information into a more structured format using relations and logic. We will denote these as 'L': logical relationship, 'C': condition, 'S': Subject (or name in this case)
1. A message reads: "Switch 1 works only if Switch 3 does not."
   L1: If S1Works -&gt; (Not S3Works)
2. "Exactly one switch is functional."
   C1: Exactly one switch is active (F)
3. "Switch 2 is not the correct one."
   L2: Not S2Correct
Now we'll solve the puzzle by combining the relationships step by step.
Step 1: Identify which switches are not working based on the given conditions.
   - Since L2 states that S2 is not correct, we can infer S2 is not functional (S2NotF).
Step 2: Determine which switch could be the final solution.
   - From the given conditions, we know there is exactly one functional switch (C1), and since S2 is not functional, it has to be either S1 or S3.
Step 3: Test for compatibility between conditions and determine if any of them create contradictions.
   - If S1Works requires (Not S3Works) and they both have to be functional simultaneously, it means (Not S1Works) must be true at the same time. This leads to a contradiction as it would mean (Not S1Works) and S1Works are both true.
   - On the other hand, if S3Works is required for S1 to work but it doesn't, then it could be possible for S1 to be functional without making contradictions.
Finally, since S1 has no specific condition to not work if S3 doesn't work, it's more likely that S1 opens the door. There's no explicit requirement for F to be one specific switch, so it could also be S3 or even both. However, without further information, we can only give a partial answer: FINAL_ANSWER: &lt;Possible solutions: S1, S3, S1 and S3&gt;</t>
  </si>
  <si>
    <t>25s3</t>
  </si>
  <si>
    <t xml:space="preserve"> Relationships translated:
1. A message can be read ("Switch 1 works only if Switch 3 does not" =&gt; "switch1-condition-switch3")
2. Exactly one switch is functional ("Exactly one switch is functional" =&gt; "exactly-one-functional")
3. Switch 2 is not the correct one ("Switch 2 is not the correct one" =&gt; "switch2-not-correct-one")
4. The goal is to find the switch that opens the door (Assuming there's a logical sequence based on given statements)
End result: To solve the puzzle, we need to follow the order of these relationships and filter out the switches. We first consider the condition for switch 1, then look at which switch is not the correct one, and finally find the correct switch among the rest.
FINAL_ANSWER: &lt;Answer&gt; = get_answer(get_correct_switch(filter_wrong_conditions(initial_switches)))
where:
- initial_switches = [1, 2, 3]
- filter_wrong_conditions(initial_switches) = remove switch2 because "switch2-not-correct-one"
- get_correct_switch(filtered_switches) = find the remaining switch after considering switch1's condition
- get_answer(last_switch) = determine if last switch is the one that opens the door, following the statement "exactly-one-functional"</t>
  </si>
  <si>
    <t>26z1</t>
  </si>
  <si>
    <t xml:space="preserve"> The final answer is: A, B, C.</t>
  </si>
  <si>
    <t>26z2</t>
  </si>
  <si>
    <t xml:space="preserve"> The final order from top to bottom is ABC. We know that A isn't on the top, so it's either at the second or third position. It can't be below C since we also know C isn't the bottom book. B can't be directly next to C, so it's above or below one of them, which means it should be between A and C. Therefore, the only possible arrangement is with A being on top, then B, and finally C on the bottom.</t>
  </si>
  <si>
    <t>26z3</t>
  </si>
  <si>
    <t xml:space="preserve"> The final answer is either A-C-B or A-B-C because all clues given only exclude specific positions for each book but do not provide enough information to determine the exact order of the books.</t>
  </si>
  <si>
    <t>26c1</t>
  </si>
  <si>
    <t xml:space="preserve"> To solve this puzzle step-by-step, we'll start by analyzing the given clues and trying to eliminate possibilities. Then, we'll move towards constructing the most logical order based on our understanding of these clues. 
1. Clue 1 states that Book A is not on the top. This means it must be either in the middle or at the bottom.
2. Clue 2 tells us that Book C is not on the bottom. Therefore, it should also be either in the middle or at the top. 
3. Clue 3 mentions that Book B is not directly next to C. It can't be right next to C if they're stacked on top of each other, but they could be one book apart in any order.
4. Now, let's consider all possible orders and eliminate those that contradict the clues:
   a. Top to bottom order (A, C, B) doesn't work because C is not on the bottom.
   b. Top to bottom order (C, A, B) doesn't work because A is not on the top.
   c. Top to bottom order (B, C, A) contradicts Clue 3, as B would be right next to C.
   d. The only remaining option is the top to bottom order (C, A, B).
5. By analyzing the given clues and eliminating contradictions, we have now found the most logical order for the three books. So the final answer is A, C, and B from top to bottom. This order respects the constraints provided in the clues.</t>
  </si>
  <si>
    <t>26c2</t>
  </si>
  <si>
    <t xml:space="preserve"> To solve this puzzle, let's analyze the given information step by step and eliminate the possible orderings.
1. We know that the order must include at least three distinct positions (top, middle, and bottom), as there are only three books and none can be in two different places simultaneously. This eliminates any ordering where a single book occupies multiple spots.
2. We also have some specific clues: 
   a. Book A is not on the top. This means it cannot be in the topmost position (top), so it either has to be in the middle or the bottom.
   b. Book C is not on the bottom. This eliminates the option of C being in the bottommost position (bottom). So, it can only be in the top or middle.
   c. Book B is not directly next to C. If B were between A and C, it would be directly adjacent to C, contradicting this clue. Therefore, A and C must be between B with no direct connection. 
3. Now, let's examine the permutations for each configuration with respect to the available positions for A, B, and C.
4. Starting with the top position (position A):
   a. We know C cannot be in the bottom spot since it's not on the bottom. This leaves two options: C can be in the middle or the top position. 
       i. If C is in the top position, the only way we can have C not being directly next to A is if B is between them. This means A is somewhere below B and B has to be either in the middle or bottom position.
         1. If B is in the middle position, then the entire arrangement would be: [C] - [B] - [A]. This doesn't violate the given clues, so one possibility could be A-C-B.
         2. Alternatively, if B is in the bottom position, then the order would become: [A] - [C] - [B], which follows the conditions as well, giving us another option A-C-B.
    b. If C is in the middle position, a similar analysis should be done for the remaining books (A, B).
      i. In this case, we need to ensure that A isn't directly next to</t>
  </si>
  <si>
    <t>26c3</t>
  </si>
  <si>
    <t xml:space="preserve"> To solve this puzzle, we will analyze the given clues one by one and try to eliminate any inconsistencies or unrealistic scenarios. The goal will be to find the most reasonable arrangement that fulfills all given conditions. 
1. "Book A is not on the top." This means that there must be at least two more books between the top and Book A. We can safely infer that Book C cannot be above Book A because it's not on the bottom (which is also beneath A). So, Book A should be one layer below Book C.
2. "Book C is not on the bottom." We already inferred that Book C is not directly above Book A, which implies that it's at the second position from the bottom. 
3. "Book B is not directly next to C." This means that they cannot be neighbors, so Book B should either be placed immediately above or below Book C.
Now let's consider all these findings together: Since Book A is one layer below Book C, we have established that A, C, and B should be arranged in a way that keeps them distinctly separate in the order of shelves. With the other clues, we know Book C is on the second level from the bottom and is not next to B. Therefore, the most reasonable order would be: Book A (top), Book B (above C), and Book C (bottom). 
Final answer: Top to bottom order - A, B, C.</t>
  </si>
  <si>
    <t>26d1</t>
  </si>
  <si>
    <t xml:space="preserve"> Step 1: Key clues - Book A not on top, Book C not on bottom, Book B not directly next to C.
Step 2: Interpretation of clues - Since A isn't on top, A can be anywhere below B or C. Similarly, Book C not being on the bottom means it can be in the middle or right after B. Book B is not directly next to C, which means they are separated by at least one book.
Step 3: Combine the clues to reach a conclusion - Given the given options and constraints, we could form the following possible combinations:
1) A-B-C (Book A not on top, A between B and C, B next to C)
2) A-C-B (Book A not on top, A on the bottom of other two, B next to C)
3) B-A-C (Book A not on top, A below B, B next to C)
4) B-C-A (Book A not on top, A on the bottom of the other two, B not next to C)
5) C-A-B (Book A not on top, A above C, B not next to C)
6) C-B-A (Book A not on top, A below B, C not next to B)
We cannot determine the actual order as all these arrangements satisfy the given conditions. The actual order could be any one of these options.
FINAL_ANSWER: There are multiple possible orders as per the puzzle's clues.</t>
  </si>
  <si>
    <t>26d2</t>
  </si>
  <si>
    <t xml:space="preserve"> Step 1: Identifying key clues in the puzzle
- Book A is not on the top
- Book C is not on the bottom
- Book B is not directly next to C
Step 2: Interpreting what each clue implies
- Since Book A is not on the top and not directly below it, the book above it could be A or any book other than A.
- Since Book C is not on the bottom, the book directly above it could be C or any book other than C (it can be A or B).
- As Book B is not directly next to C, it should be either above or below Book C. This means that it cannot be both above and below, so we have two possible positions for Book B.
Step 3: Combining the clues to reach a conclusion
Considering all the possibilities for each book's position mentioned earlier, the order from top to bottom can be one of the following configurations:
Configuration 1: Top - A, Middle - C, Bottom - B
Configuration 2: Top - A, Middle - B, Bottom - C
Configuration 3: Top - B, Middle - A, Bottom - C
Configuration 4: Top - B, Middle - C, Bottom - A
Step 4: Give the final answer
FINAL_ANSWER: The order from top to bottom can be any one of the four mentioned configurations, depending on the specific arrangements made on the shelf. These are Configuration 1, Configuration 2, Configuration 3, and Configuration 4.</t>
  </si>
  <si>
    <t>26d3</t>
  </si>
  <si>
    <t xml:space="preserve"> Step 1: Key clues in the puzzle:
- Book A is not on the top
- Book C is not on the bottom
- Book B is not directly next to C
Step 2: Interpretation of each clue:
- Since Book A is not on the top, it must be either in the middle or at the bottom.
- As Book C is not on the bottom, it means that it can be either on the top or in the middle.
- Book B being not directly next to C implies that it must be between both A and C, but it doesn't specify its position relative to them. It could be above C and below A, or vice versa.
Step 3: Combining the clues to reach a conclusion:
- We know that A isn't on the top or bottom, so it could be at any position.
- We also know that C isn't on the bottom, so it too could be at any position (top, middle, or bottom).
- Book B can be placed anywhere, and considering the other two books' positions, it has more freedom to move around.
- To arrange these three books in the correct order, we may use logic and consider various possibilities, but there could be multiple solutions. 
FINAL_ANSWER: The exact order from top to bottom depends on how you arrange the books while satisfying the given conditions. However, some possible arrangements are: (A, C, B), (C, A, B), (B, A, C), or (B, C, A).</t>
  </si>
  <si>
    <t>26v1</t>
  </si>
  <si>
    <t xml:space="preserve"> The order from top to bottom should be ABC or ACB because they satisfy all clues - A is not on the top, C is not on the bottom, and B is not directly next to C. However, since A can be either on top or middle in the first case (ACB), let's verify both possibilities.
ABC: Clues satisfy - A is not the top (not true) but A is still not the top. B is not next to C (true). C is not the bottom (true).
ACB: Clues satisfy - A is not the top (true). C is not the bottom (true). B is not next to C (true).
Since ACB meets all the clues and doesn't have any contradictions, the final answer is: FINAL_ANSWER: ACB &lt;Answer&gt;</t>
  </si>
  <si>
    <t>26v2</t>
  </si>
  <si>
    <t xml:space="preserve"> To solve this normally, let's start with the given information and analyze it step by step.
1. We know that there are three books (A, B, and C) stacked on a shelf.
2. The order of these books is unknown.
3. According to the clues:
   - Book A is not on the top (which means it can be either middle or bottom).
   - Book C is not on the bottom (which means it can also be in the middle or the top position).
   - Book B is not directly next to C (so they should not be in one consecutive row).
Let's now try to create all possible orderings while keeping the given clues in mind.
Ordering 1: A-B-C (A is not the top, so it could be second, and B is not directly next to C, but this still works)
Ordering 2: A-C-B (A is not the top, but B is not directly next to C, still valid)
Ordering 3: B-A-C (A is not the top and it's different than Ordering 1, so it's also valid)
Ordering 4: B-C-A (C is not the bottom, so it could be second, and A is different than B, works)
Ordering 5: C-A-B (C is not the bottom, but A is different than B, still valid)
Ordering 6: C-B-A (C is not the bottom, B is not next to A and A is different from C, this works)
Now we will compare these orderings against the clues once more. There are no clues that specifically tell us which ordering is correct. Therefore, the final answer should include all possible valid orderings:
FINAL_ANSWER: &lt;A-B-C, A-C-B, B-A-C, B-C-A, C-A-B, C-B-A&gt;</t>
  </si>
  <si>
    <t>26v3</t>
  </si>
  <si>
    <t xml:space="preserve"> First, we can eliminate some options. Since Book A is not on the top and Book C is not on the bottom, we know that these two should be in the middle positions. This leaves the only possibility for the remaining position which must be for Book B. So the order can be A-B-C.
FINAL_ANSWER: A-B-C</t>
  </si>
  <si>
    <t>26e1</t>
  </si>
  <si>
    <t xml:space="preserve"> We have the following clues:
1. Book A is not on the top.
2. Book C is not on the bottom.
3. Book B is not directly next to C.
4. There are no other relevant clues mentioned.
Now we have to find the order of the books from top to bottom. We have three options and need to eliminate the others:
Option 1: A-B-C (Book A at the top, Book B in the middle, Book C at the bottom)
Option 2: A-C-B (Book A at the top, Book C in the middle, Book B at the bottom)
Option 3: B-A-C (Book B at the top, Book A in the middle, Book C at the bottom)
We know that Book A cannot be on the top according to clue 1. So, Option 1 can be eliminated. We also know that Book C cannot be at the bottom according to clue 2, which means it has to be either in the middle or on the top. Now we have only two remaining options: A-C-B and B-A-C.
In both these options, there is no other direct information provided about the order between A, B, and C. However, we do have clue 3 stating that Book B is not directly next to C. Considering this, the most logical order would be to make sure C is after B and then ensure A is placed accordingly.
So, if we choose Option 2 (A-C-B), we would end up with A being placed above C. This is against what clue 3 suggests. If we choose Option 3 (B-A-C), Book C is already below Book B, which aligns with clue 3 as C is not directly next to B. Therefore, we have our answer: FINAL_ANSWER: B-A-C. The order of the books from top to bottom is Book B, Book A, and finally, Book C.</t>
  </si>
  <si>
    <t>26e2</t>
  </si>
  <si>
    <t xml:space="preserve"> Clues used:
1. Book A is not on the top.
2. Book C is not on the bottom.
3. Book B is not directly next to C.
4. Book A, B, and C are the three books on the shelf.
5. No other pieces of information given about the books or shelves.
Reasoning: Since no direct order is mentioned between Books A, B, and C, we can only deduce relationships among these books through logical implications. We'll start with the given information:
Book A is not the top book, so it's under Book C. However, we also know that Book C isn't the bottom book, which means there's another book above it, let's call this Book D.
Next, we have the relationship between Books B and C. We know they're not directly next to each other. This could mean that Book B is below or above both Books A and C, considering that it's not next to either.
However, since all three books (A, B, and C) are stacked on the shelf, and if Book B is between A and C, it would be either directly next to C or in a position where it's just above C. Since it's not directly next to C, it means it's above C in some way. Therefore, Book B has to be on the top, and it's above Book C.
Now we've placed all books. Starting with the top book: Book B, then Book A below Book B, Book D below Book B and A, and finally Book C at the bottom.
FINAL_ANSWER: &lt;Answer&gt; Top-to-bottom order: Book B, Book A, Book D, Book C.</t>
  </si>
  <si>
    <t>26e3</t>
  </si>
  <si>
    <t xml:space="preserve"> Clues:
1. Book A is not on the top.
2. Book C is not on the bottom.
3. Book B is not directly next to C.
4. We have three books (A, B, and C) arranged in an unknown order.
5. We need to find the order from top to bottom.
Reasoning: Since we have 5 clues and none of them give us specific positions or relations for all the books, we cannot definitively conclude any order among the books. Hence, the order remains uncertain and we can't provide a final answer.</t>
  </si>
  <si>
    <t>26g1</t>
  </si>
  <si>
    <t xml:space="preserve"> To solve this puzzle, we need to find the positions of A, B, and C in the stack order. We have three clues which will help us understand their placement.
1. Book A is not on the top.
2. Book C is not on the bottom.
3. Book B is not directly next to C.
Now let's analyze the clues and deduce possible stack orders:
1. If A is not on the top, it might be either on the second or third position (since there are only three books).
2. If C is not on the bottom, it must be one of the two remaining positions after considering the first book.
3. Since B is not directly next to C, B can't be in between A and C in any order.
Taking these into account, we can visualize the following scenarios:
Scenario 1: ACBA - A is at the second position, C is at the bottom, and B is on the top. However, this contradicts the rule that B isn't directly next to C, making it an invalid order.
Scenario 2: BACA - B is at the second position, A is at the bottom, and C is on the top. This doesn't conflict with any clue, but it seems illogical to have the heaviest book on the top.
Scenario 3: ABCA - A is at the bottom, B is at the second position, and C is at the top. This doesn't clash with any of the rules, and it seems like a logical order.
Scenario 4: ACBF - A is at the first position, C is at the second position, and B is at the top (with F being a typo). This scenario doesn't make sense for the same reasons as Scenario 1.
The FINAL_ANSWER for the given puzzle is the most logical arrangement from the given clues: &lt;Answer&gt; ABCA</t>
  </si>
  <si>
    <t>26g2</t>
  </si>
  <si>
    <t xml:space="preserve"> 
1. Three books â€” A, B, and C â€” are stacked on a shelf (initial order)
2. Book A is not on the top (A must be below the top book)
3. Book C is not on the bottom (C must be above the bottom book)
4. Book B is not directly next to C (B cannot be between C and any of the other books)
Using these interpretations we can try out different orders to see if they follow all the given clues. The only possible ways to fit all three books' conditions are as follows:
Order 1: A-B-C (A on the bottom, not top, B not between A and C)
Order 2: A-C-B (A on the bottom, not top, B not between A and C)
Order 3: B-C-A (B not between A and C, A is not on the top, C not bottom)
FINAL_ANSWER: These three orders satisfy all the given clues without contradicting any rule. Possible final answers are A-B-C, A-C-B, or B-C-A. The exact order from top to bottom is not specified in the provided information.</t>
  </si>
  <si>
    <t>26g3</t>
  </si>
  <si>
    <t xml:space="preserve"> First, we have the given clues in the puzzle:
1. Three books - A, B, and C - are stacked on a shelf.
2. Book A is not on the top.
3. Book C is not on the bottom.
4. Book B is not directly next to C.
We need to determine the order of the books from top to bottom. Let's start by interpreting each clue:
1. Since there are three books and no specific information about their order, any combination can be possible. For now, let's consider ABC as the possible order.
2. We know that Book A is not on the top, so it must be somewhere else but not on the first place. This doesn't rule out whether it's below B or C.
3. We also know that Book C is not on the bottom, which means it's somewhere in the middle, or above another book. But we don't know if it's above B or A.
4. We are told that Book B is not directly next to C, which only rules out the possibility for them being side by side. We still don't have enough context to determine if they are on different levels or share a level.
Now, let's use this information to solve the puzzle and find the final answer:
Since we have multiple possible arrangements for books A, B, and C, we will consider all possibilities while maintaining the conditions given in the clues.
Possibility 1: ABC - Top to bottom, books are arranged as ABC. This arrangement follows all clues.
Possibility 2: ACB - Top to bottom, books are arranged as ACB. This arrangement does not follow clue 2, where Book A is not on the top.
Possibility 3: BAC - Top to bottom, books are arranged as BAC. This arrangement does not follow clue 2 either.
Possibility 4: BCA - Top to bottom, books are arranged as BCA. This arrangement doesn't follow clue 4, where Book B is not directly next to C.
Possibility 5: CAB - Top to bottom, books are arranged as CAB. This arrangement doesn't follow clue 3, where Book C is not on the bottom</t>
  </si>
  <si>
    <t>26s1</t>
  </si>
  <si>
    <t xml:space="preserve"> First, we'll translate the given clues into structured relationships using the "&lt;" symbol for the relative position (as in A&lt;B). We'll use a capital letter to represent the book.
1. Book A is not on the top, so there's another book above it. Let's write A&lt;X, where X represents any book that's above A.
2. Book C is not on the bottom, so there must be at least one more book below it. This would imply C&gt;Y, where Y represents any book that's below C.
3. Book B is not directly next to C. This means B cannot be either immediately above or below C. So, we can infer that B&gt;Y and Y&lt;C.
Now, let's combine these relationships to form a potential order of the books on the shelf. Since A cannot be on the top, it will likely be below both X and Y (from our earlier relationships). The same logic applies to C being on the bottom. So, the possible orders could be:
A&lt;X&lt;Y&lt;C (Order 1)
A&lt;Y&lt;X&lt;C (Order 2)
A&lt;Y&lt;C&lt;X (Order 3)
A&lt;C&lt;Y&lt;X (Order 4)
C&lt;Y&lt;X&lt;A (Order 5)
C&lt;Y&lt;A&lt;X (Order 6)
C&lt;A&lt;Y&lt;X (Order 7)
C&lt;A&lt;X&lt;Y (Order 8)
To find the actual order, we need to consider the given information which states that "Book B is not directly next to C". This constraint eliminates multiple orders since we know B cannot be next to C on any side. This leaves us with only two feasible orders for the books:
Order 9: A&lt;Y&lt;B&lt;C&lt;X (Book B is between A and C but is left of C)
Order 10: A&lt;Y&lt;C&lt;B&lt;X (Book B is between A and C but is right of A)
These are the most probable orders after considering the constraints provided in the puzzle. However, without more specific context, it's impossible to accurately determine the exact top-to-bottom order of the books. FINAL_ANSWER: &lt;Answ</t>
  </si>
  <si>
    <t>26s2</t>
  </si>
  <si>
    <t xml:space="preserve"> Here's the translation of given relations in a structured format.
1. A is not on the top - A &lt; (some book other than A)
2. C is not on the bottom - C &gt; (some book other than C)
3. B is not directly next to C - B is either above or below C
Now, let's use these translated relations to solve the puzzle. Since we have three books and two constraints for each pair of books, we can form four unique permutations where A, B, and C can be positioned among each other. We'll now test and eliminate invalid permutations based on clues and form the valid final answer.
Possible Permutations:
(A&lt;B, B&lt;C, C&gt;A) = [A, B, C]
(A&lt;C, B&lt;C, C&gt;A) = [C, A, B]
(A&lt;C, B&gt;C, C&gt;A) = [C, B, A]
(A&lt;B, B&gt;C, C&gt;A) = [A, B, C]
The given clues indicate that we should eliminate permutation 2 ([C, A, B]) since it contradicts the rule that C is not on the bottom. Therefore, we have three valid permutations left: [A, B, C], [C, B, A], and [A, B, C].
To find the exact order from top to bottom, we need more information related to how the books are stacked. As of now, we can't definitively determine which order is correct without further context. The solution will remain incomplete until additional clues or rules are provided.
FINAL_ANSWER: &lt;Possible answers: [A, B, C], [C, B, A], [A, B, C]&gt;</t>
  </si>
  <si>
    <t>26s3</t>
  </si>
  <si>
    <t xml:space="preserve"> First, translate given relationships into structured ones.
Book A is not on the top: Not(A = Top)
Book C is not on the bottom: Not(C = Bottom)
Book B is not directly next to C: B != C-1 and B != C+1
Now, use these relationships to find the final answer.
Since we have two relationships related to the position of 'A', we can infer that 'A' is either at second or third position. The remaining positions will be for 'B' and 'C'. So, let's check with each possible combination.
Case 1: (A at second position, B at top, C at bottom) -&gt; A&lt;B, B&lt;C, A!=B, A!=C, B!=C -&gt; A&lt;B, B&lt;C, Not(A=B), Not(A=C), Not(B=C). This is contradictory as A should not be between B and C.
Case 2: (A at third position, B at top, C at bottom) -&gt; A&lt;B, B&lt;C, A!=B, A!=C, B!=C -&gt; A&lt;B, B&lt;C, Not(A=B), Not(A=C), Not(B=C). This case also has a similar contradiction like Case 1.
Case 3: (A at top, B at second position, C at bottom) -&gt; A&gt;B, B&lt;C, Not(A=B), Not(A=C), Not(B=C). This is a valid solution with A on the top, B at second, and C at the bottom.
Case 4: (A at top, B at third position, C at bottom) -&gt; A&gt;B, B&lt;C, Not(A=B), Not(A=C), Not(B=C). This case also has a similar contradiction as Case 1 and 2.
Case 5: (A at second position, B at top, C at third position) -&gt; A&lt;B, B&gt;C, A!=B, A!=C, B!=C -&gt; A&lt;B, Not(A=C), B-1&lt;C, A!=C, Not(B=C). This case has an issue with C not being at</t>
  </si>
  <si>
    <t>27z1</t>
  </si>
  <si>
    <t>Three animals â€” Cat, Dog, and Bird â€” live in three houses: Red, Green, and Blue. The houses are arranged in a straight line from left to right in the order: Red House â†’ Green House â†’ Blue House. Clues: The Cat does not live in the Red House. The Dog lives next to the Cat. The Bird does not live in the Green House. The Cat lives between the Dog and the Bird. Where does the Cat live?</t>
  </si>
  <si>
    <t xml:space="preserve"> The Cat lives in the Blue House.</t>
  </si>
  <si>
    <t>27z2</t>
  </si>
  <si>
    <t>27z3</t>
  </si>
  <si>
    <t>27c1</t>
  </si>
  <si>
    <t xml:space="preserve"> Let's analyze the clues one by one to narrow down the possible living arrangements for the three animals.
1. The Cat is not in the Red House. We can rule out the Red House as an option for the Cat.
2. The Dog lives next to the Cat. This suggests that either the Dog is near the Red House (if it is to the right) or the Dog is close to the Blue House (if it is to the left). However, we know the Cat is not in the Red House, so the Dog must be next to the Blue House.
3. The Bird does not live in the Green House. Similar to the previous step, we can eliminate the Green House as a potential home for the Bird.
4. The Cat lives between the Dog and the Bird. Since the Dog is closer to the Blue House and the Bird is not in the Green House, we have four possible arrangements left: Dog â†’ Cat â†’ Bird (this would mean the Cat is in the Blue House) or Dog â†’ Bird â†’ Cat (Cat in the Green House) or Bird â†’ Dog â†’ Cat (Cat in the Red House) or Cat â†’ Bird â†’ Dog (Cat in the Green House).
By evaluating these scenarios, we find that the only consistent arrangement aligns with the idea of the Cat being between the Dog and the Bird. In this case, the Dog lives in the Blue House, while the Cat is in the Green House, and the Bird lives in the Red House. Therefore, the Cat lives in the Green House.</t>
  </si>
  <si>
    <t>27c2</t>
  </si>
  <si>
    <t xml:space="preserve"> To solve the given puzzle, we need to determine the position of each animal in the arrangement of houses by analyzing the clues provided one by one. We will start with eliminating any house that is ruled out as a living place for a particular animal.
1. The Cat does not live in the Red House. This eliminates the possibility of the Cat living in the Red House.
2. The Dog lives next to the Cat. Since we have already established that the Cat cannot live in the Red House, the Dog must live in the Red House or the adjacent house (Green House). We have no information yet about the Blue House.
3. The Bird does not live in the Green House. This further narrows down our options to the Red House and Blue House.
4. The Cat lives between the Dog and the Bird. The Cat cannot be closer to either the Dog or the Bird as both are mentioned to reside before and after it respectively. Given that the Dog can live in either the Red House or the Green House, the Cat would be in the Red House or the Green House and the Bird will be in the Blue House. 
5. In the context of living arrangements, it is more likely for the Cat to live in the Red House instead of the Green House because 'living next to' means it has a neighbor from its side, and the Dog is considered a neighbor on this side when it's in the Red House. So, if the Dog is placed in the Green House, it doesn't make sense to put the Cat there too, as it would have no neighbor on that side. The Cat would have to switch places with the Dog. Therefore, the most logical arrangement considering all the clues is as follows: Red House (Dog) â†’ Green House (Bird) â†’ Blue House (Cat).
Final answer: The Cat lives in the Blue House.</t>
  </si>
  <si>
    <t>27c3</t>
  </si>
  <si>
    <t xml:space="preserve"> Let's analyze the given clues one by one and try to find a logical place for each animal.
1. "The Cat does not live in the Red House."
2. "The Dog lives next to the Cat."
3. "The Bird does not live in the Green House."
4. "The Cat lives between the Dog and the Bird."
Now let's consider the arrangements of the houses. We know the house arrangement as 'Red House â†’ Green House â†’ Blue House'. 
Step 1: Since the Dog is next to the Cat, the order of these two will be either Dog â†’ Cat or Cat â†’ Dog. In order to fit all the conditions (the Cat being between Dog and Bird), we need the Cat to be nearer to the bird than the dog. So, it is more likely that the Dog â†’ Cat.
Step 2: From clue 1, we can eliminate the Red House as the living place for the cat. The remaining options are the Green and Blue Houses.
Step 3: The Bird cannot be in the Green House according to clue 3, so the bird must be in either the Red or Blue House.
Step 4: Since the cat lives between the dog and the bird, the cat should be closer to the bird than the dog. Based on the previous deduction (Dog â†’ Cat), the bird must be in the house following the Cat. Therefore, the bird must be in the Red or Blue House, but not the Green House.
Step 5: With the bird in either Red or Blue House, the cat should be in a house further away from the bird, which means it would be in the Green House. This arrangement is consistent with the information provided that the cat is between the dog and the bird.
Final answer: The Cat lives in the Green House. The reasoning comes from analyzing each clue and making logical assumptions about the position of the houses relative to one another, while keeping in mind the given clues and ensuring a coherent setup.</t>
  </si>
  <si>
    <t>27d1</t>
  </si>
  <si>
    <t xml:space="preserve"> Step 1: Key clues - 
1. Cat doesn't live in Red House
2. Dog lives next to Cat
3. Dog, Cat, Bird in order
4. Dog, Cat, Bird in terms of houses
5. Bird doesn't live in Green House
6. Cat lives between Dog and Bird
7. Houses arrangement - Red, Green, Blue (Red-Green-Blue)
8. Cats, dogs, birds in houses - (Dog lives in Green, Cat in Blue, Bird in Red)
Step 2: Interpretation -
1. Cat in a different house than Red
2. Dog and Cat next to each other
3. Order of animals is Dog, Cat, Bird (DGB)
4. Order of houses is Red, Green, Blue (RGB)
5. Bird in a different house than Green
6. Cat's position is between Dog and Bird
7. Houses arranged in a row
8. Houses-animals connection - Green (D), Blue (C), Red (B)
Step 3: Combine the clues to reach a conclusion - We know that the cat cannot be in the red house because it's mentioned at the beginning. The dog is living in the green house, implying the cat can't be with the dog, making it live in the red or blue house. The bird is not in the green house, which means the bird is in the red or blue house. The cat is supposed to be between the dog and the bird, so we need to ensure this. Given the house arrangement, if the cat were in the red house, it would be placed after the bird, which is incorrect based on the clue "Cat lives between the Dog and the Bird". So the only possibility left is for the cat to live in the blue house, which aligns with the house-animals connection given in step 2. The final answer: FINAL_ANSWER: Cat lives in Blue House.</t>
  </si>
  <si>
    <t>27d2</t>
  </si>
  <si>
    <t xml:space="preserve"> Step 1: Key clues - Cat not in Red House, Dog lives next to Cat, Bird not in Green House, Cat between Dog and Bird, Dog-Cat-Bird in a line (Red-Green-Blue Houses).
Step 2: Interpret clues - House arrangement and cat-dog-bird relationship.
Step 3: Combine clues - Since we know cat is between dog and bird (Red-Green-Blue) but not in red house, it must be either in green or blue house. Also, cat is not in green house. Therefore, cat lives in blue house, which is located at the end of the straight line (left to right) due to its positioning in relation to dog and bird.
FINAL_ANSWER: Cat lives in the Blue House.</t>
  </si>
  <si>
    <t>27d3</t>
  </si>
  <si>
    <t xml:space="preserve"> Step 1: Key clues in the puzzle: Red House, Green House, Blue House, Cat, Dog, Bird, Red House, Green House, Blue House, straight line, left to right, order, Cat not in Red House, Dog next to Cat, Bird not in Green House, Cat between Dog and Bird.
Step 2: Interpret the clues:
- Houses have a specific order (Red, Green, Blue) in a straight line from left to right.
- Cat is not in the Red House.
- Dog is next to Cat.
- Bird is not in the Green House.
- Cat is located between Dog and Bird, which means it's either before or after both Dog and Bird.
Step 3: Combine the clues:
- We know that Cat is not in the Red House, so it must be in either the Green or Blue House.
- The Dog lives next to the Cat, so if Dog is in the second house (Green), then Cat would have to be in the first (Red) or last (Blue) house. However, we already confirmed Cat isn't in Red.
- If Dog is in the third house (Blue), the same reasoning applies and Cat can't be in Red. Since Dog is not in Blue, this option doesn't work out.
- Finally, let's consider the possibility where Dog is in the first house (Red), and Cat is in the second house (Green). In this scenario, the Bird is in the third house (Blue).
- This configuration matches the given information and arranges the animals and houses according to the clues provided.
FINAL_ANSWER: The Cat lives in the Green House.</t>
  </si>
  <si>
    <t>27v1</t>
  </si>
  <si>
    <t xml:space="preserve"> Let's analyze the given information step by step.
1. The Cat does not live in the Red House. So, Cat doesn't live in the first house (Red House).
2. The Dog lives next to the Cat. Since Cat doesn't live in the Red House, it means the Dog lives in the Red House or the next one (Green House). However, we don't know for sure which one the Dog lives.
3. The Bird does not live in the Green House. So, Bird doesn't live in the second house (Green House).
4. The Cat lives between the Dog and the Bird. We know that Dog could be either in the Red House or the Green House, but both of them can't be. Since we don't have enough information to determine the position of the Dog, we can't accurately place the Cat.
Final answer: The given clues do not provide enough information to accurately determine where the Cat lives. Correcting our reasoning would require additional clues about the positions of the Dog and the Bird.</t>
  </si>
  <si>
    <t>27v2</t>
  </si>
  <si>
    <t xml:space="preserve"> First, let's analyze the given information step-by-step.
1. The Cat does not live in the Red House.
2. The Dog lives next to the Cat. (Let's assume Dog is placed in the house after Cat)
3. The Bird does not live in the Green House.
4. The Cat lives between the Dog and the Bird. (Since it's between, let's position it before the Bird)
5. Houses are arranged in a straight line: Red House â†’ Green House â†’ Blue House.
Now let's combine this information and try to find where the Cat might live.
Since Cat is not in the Red House, it can't be there. This narrows down the options to two possible houses - either Green or Blue House.
Now, we have the Dog living after the Cat. We know that Dog cannot be in the Red House too, so it might be in one of the remaining two houses. This means that the only option for Dog is the Green House.
Since the Bird doesn't live in the Green House, it must reside in the Blue House.
Now considering the last clue, the Cat lives between the Dog and the Bird. In our current order, the Dog is at the Green House, the Bird is at the Blue House, and Cat must be placed somewhere in between these two.
This indicates that the Cat must also be in the Green House since the Dog is in the house before Cat's position, and the Bird is in the house after Cat's position.
FINAL_ANSWER: Cat lives in the Green House.</t>
  </si>
  <si>
    <t>27v3</t>
  </si>
  <si>
    <t xml:space="preserve"> Let's analyze the problem step by step.
1. We know that the Cat does not live in the Red House.
2. We also know that the Dog lives next to the Cat. This means the Dog is between the Cat and the Bird.
3. The Bird does not live in the Green House.
4. The Cat lives between the Dog and the Bird.
5. The houses are arranged in a straight line from left to right: Red House â†’ Green House â†’ Blue House.
Now let's use this information to determine their positions.
1. Since the Cat is not in the Red House, the Cat must be either in the Green or Blue house.
2. The Dog is between the Cat and the Bird, which indicates that the Dog is not in the Red or Blue house since it's too close to the Cat. So the Dog should be in the Green house.
3. The Bird not living in the Green house means the Bird can only be in the Red or Blue house.
4. The Cat being between the Dog and the Bird means that it's not in the same house as the Dog (Green) or the Bird (Red or Blue).
The Red, Green, and Blue houses are already assigned to the respective animals. The only unassigned animal is the Cat. Since we know the Dog lives in the Green house, we can deduce that the Cat lives in the Red or Blue house. However, the clue states that the Cat does not live in the Red House. Therefore, the only place left for the Cat to be is the Blue House.
FINAL_ANSWER: Cat lives in the Blue House.</t>
  </si>
  <si>
    <t>27e1</t>
  </si>
  <si>
    <t xml:space="preserve"> Clues given:
1. The Cat does not live in the Red House.
2. The Dog lives next to the Cat.
3. The Bird does not live in the Green House.
4. The Cat lives between the Dog and the Bird.
5. Houses are arranged as follows: Red House â†’ Green House â†’ Blue House.
Step 1: Identify where the Cat doesn't live (Red house)
Step 2: Identify its neighbor (Dog, as it is mentioned that the Dog lives next to the Cat)
Step 3: Identify its other neighbor (Bird, as it is mentioned that the Cat lives between the Dog and the Bird)
Step 4: Identify which side of the Cat the bird is not on (Green house, as the Bird doesn't live in the Green house)
Now we know the Cat can't be in the Red house or next to the Green house, and the only possible option is between the Blue house and the Green house. Considering the arrangement of the houses, the Blue house is to the right of the Green house. So since the cat has to be between the dog and the bird, and the bird is not living in the green house, this places the cat to the right of the green house.
FINAL_ANSWER: The Cat lives in the Blue House.</t>
  </si>
  <si>
    <t>27e2</t>
  </si>
  <si>
    <t xml:space="preserve"> Clues list: 
1. The Cat does not live in the Red House.
2. The Dog lives next to the Cat.
3. The Bird does not live in the Green House.
4. The Cat lives between the Dog and the Bird.
Houses order: Red House -&gt; Green House -&gt; Blue House.
Since the Cat does not live in the Red House and lives between the Dog and Bird, the Dog should be on one side (the side not being the Red House) and the Bird on the other side.
The Dog is next to the Cat. If they are on the same side, the Bird would have to be next to the Cat as well, which contradicts that the Bird does not live in the Green House (which is next to the Red House).
Therefore, the Dog cannot be on the same side as the Cat. This means that the side with the Red House and Dog should be empty for the Bird.
The only remaining option is that the Cat, Dog, and Bird live in the Blue House. Since the Dog is next to the Cat, it can also be concluded that Dog is to the left of the Cat.
FINAL_ANSWER: Cat, Dog, and Bird live in the Blue House with the arrangement Cat -&gt; Dog -&gt; Bird.</t>
  </si>
  <si>
    <t>27e3</t>
  </si>
  <si>
    <t xml:space="preserve"> Clue list:
1. The Cat does not live in the Red House.
2. The Dog lives next to the Cat.
3. The Bird does not live in the Green House.
4. The Cat lives between the Dog and the Bird.
5. Houses' arrangement: Red House â†’ Green House â†’ Blue House.
Reasoning based only on given clues:
1. Since the Cat doesn't live in the Red House, it must be living either in the Green or Blue House.
2. The Dog lives next to the Cat which indicates the Dog is placed before the Cat (which means they are not in the same house).
3. We know the Bird doesn't live in the Green House.
4. From clue 4, we understand that the Cat lives in between the Dog and the Bird.
5. Given the arrangement of the houses, we can connect the placement of the Dog and the Bird to specific houses. The Dog is at the Green House since it lives before the Bird. The Bird is at the Blue House since it's placed after the Dog.
FINAL_ANSWER: The Cat lives in the Blue House.</t>
  </si>
  <si>
    <t>27g1</t>
  </si>
  <si>
    <t xml:space="preserve"> Interpreted Clues:
1. Cat is not in Red House
2. Dog lives close to Cat (next to)
3. Bird is not in Green House
4. Cat is situated between Dog and Bird (lives between)
Solve the puzzle using only these clues:
1. Since the Cat doesn't live in the Red House, we can eliminate that option.
2. We know that Dog lives close to the Cat but don't have a specific house for the Dog.
3. Similarly, the Bird isn't in the Green House, so we can eliminate it too.
4. The Cat is living between the Dog and the Bird, which indicates that one of the remaining options should be filled with Dog or Bird.
5. With this information, we can understand that the house between the positions of the Red House and the Green House must be where the Cat lives.
FINAL_ANSWER: Blue House</t>
  </si>
  <si>
    <t>27g2</t>
  </si>
  <si>
    <t xml:space="preserve"> 
1. Clue list:
- Three animals â€” Cat, Dog, and Bird
- Live in three houses: Red, Green, and Blue
- Houses are in a straight line: Red House â†’ Green House â†’ Blue House
- The Cat does not live in the Red House
- The Dog lives next to the Cat
- The Bird does not live in the Green House
- The Cat lives between the Dog and the Bird
2. Interpretations:
- Since the Cat doesn't live in the Red House, it must be either in the Green or Blue House.
- The Dog lives next to the Cat, which means if the Cat is in a house, then the Dog will be one place before that. This suggests the Dog can only be in the Red House or Green House, since both are on the left side of where the Cat is living.
- The Bird doesn't live in the Green House. This narrows down the possible location for the Bird to the Red or Blue House.
- The Cat lives between the Dog and the Bird, which suggests that the Cat is in the house after the Dog's position and before the Bird's.
3. Solution:
- Considering the information, we have the following scenarios:
   - If the Cat is in the Blue House, the Dog would need to be in the Red House and the Bird in the Green House. But this contradicts the clue "The Cat lives between the Dog and the Bird," as the Dog is supposed to be living right before the Cat.
   - If the Cat is in the Green House, the Dog would need to be in the Red House, and the Bird could be in any other house as it's not mentioned. However, this contradicts the clue "The Cat does not live in the Red House."
   - If the Cat is in the Red House, the Dog would be in the Green House, and the Bird could be in any other house as it's not mentioned. This aligns with all the given clues, making the Cat in the Red House.
FINAL_ANSWER: The Cat lives in the Red House.</t>
  </si>
  <si>
    <t>27g3</t>
  </si>
  <si>
    <t xml:space="preserve"> 
1. Copy every clue from the puzzle exactly as written:
   - Three animals â€” Cat, Dog, and Bird â€” live in three houses: Red, Green, and Blue.
   - The houses are arranged in a straight line from left to right in the order: Red House â†’ Green House â†’ Blue House.
   - The Cat does not live in the Red House.
   - The Dog lives next to the Cat.
   - The Bird does not live in the Green House.
   - The Cat lives between the Dog and the Bird.
2. Interpret each clue:
   - No Cat at the Red House (Cat's placement is excluded)
   - Dog's placement relative to Cat (Dog is on the left of Cat)
   - No Bird in the Green House (Bird's placement is excluded)
   - Cat's position relative to both Dog and Bird (Cat is sandwiched between them)
3. Solve the puzzle using only these clues:
   - We know that Cat doesn't live in Red House and doesn't live in Green House, so we can eliminate those two options.
   - Since Dog lives next to the Cat, it should be either left or right side of the Cat. Let's place Dog on the left, which leaves the other house to be Blue House.
   - Now, we know the Cat lives between the Dog and the Bird. Let's find their positioning. The Bird's placement can't be in the same house as the Cat, so it's either in the Green House or the Blue House. Let's place the Bird in the Green House, with the Cat being in the Blue House.
   - FINAL_ANSWER: Blue House</t>
  </si>
  <si>
    <t>27s1</t>
  </si>
  <si>
    <t xml:space="preserve"> First, we'll translate the given relationships:
1. Cat not living in the Red House: !Cat&lt;Red
2. Dog living next to the Cat: Dog~=Dog-1 (since it's adjacent)
3. Bird not living in the Green House: !Bird&lt;Green
4. Cat living between the Dog and the Bird: (Cat-1)&lt;(Cat-2)
Now, let's use the given sequence of houses to link these relationships:
1. Red House â†’ Green House â†’ Blue House
By combining these translated relationships and house sequences, we can deduce the positions of each animal:
1. Red House: !Cat&lt;Red
   Green House: !Bird&lt;Green
   Blue House: !
   (This position is unused as the clues mention the animals' positions should be in the red and green houses.)
2. Red House: !Cat&lt;Red (Cat is not in the red house, but we already have this relationship)
   Green House: !Bird&lt;Green
   Blue House: !
3. Red House: !Cat&lt;Red
   Green House: !Bird&lt;Green
   Blue House: !
4. Red House: !Cat&lt;Red
   Green House: !Bird&lt;Green
   Blue House: !
Finally, let's solve for the Cat's location:
The Cat lives between the Dog and the Bird. (Cat-1)&lt;(Cat-2)
Since there's no information about the exact positions of the Dog and Bird, the closest possible solution would be placing the Cat just to the right of the Green House, making 'Cat-1' be the Red House and 'Cat-2' be the Green House.
FINAL_ANSWER: The Cat lives in the Red House. (However, it's important to note that this answer might not be accurate due to missing information on the other two animals' positions.)</t>
  </si>
  <si>
    <t>27s2</t>
  </si>
  <si>
    <t xml:space="preserve"> We can represent this as follows:
1. Animals: [Cat, Dog, Bird]
2. Houses: [Red, Green, Blue]
3. House arrangement: [Red House, Green House, Blue House]
4. Animal-House relationships:
   - Cat doesn't live in Red (Not in Red House)
   - Dog lives next to Cat (Next to Cat)
   - Bird doesn't live in Green (Not in Green House)
   - Cat lives between Dog and Bird (Between Dog and Bird)
Now let's solve the puzzle using these relationships.
1. The Cat does not live in the Red House, so it must be in either the Green or Blue house.
2. The Dog lives next to the Cat, which means the Cat is on the other side of the Dog. Since we only have two options (either next to the Green House or next to the Blue House), let's test both cases.
   2a. If the Cat is between the Dog and Bird, then the Dog is next to the Cat. Since the Dog lives next to the Cat in the given arrangement, the Dog should be in the Red House. This means the Bird would be in the Blue House. In this case, the Cat would also need to be in the Green House as no other option exists.
   2b. If the Cat is between the Dog and Bird and the dog lives in the Red House, then the Bird must be in the Green House. The Cat cannot be in the Blue House because the Bird is in the Green House. However, this setup contradicts the given relationship "The Cat lives between the Dog and the Bird." So, this case cannot be true.
In conclusion, the Cat lives in the Green House. FINAL_ANSWER: Green House</t>
  </si>
  <si>
    <t>27s3</t>
  </si>
  <si>
    <t xml:space="preserve"> We will first create the relationships using given clues.
1. Cat is not in Red House.
2. Dog lives next to Cat.
3. Bird is not in Green House.
4. Cat lives between Dog and Bird.
5. Houses are arranged in a straight line (Red -&gt; Green -&gt; Blue)
Now we use these relationships to determine the house for each animal. We will use A&lt;B to represent that A is to the left of B.
1. Let Cat be C, Dog be D, and Bird be B. We have:
   C is not in Red House (C&lt;Red), Red is a left neighbor of Green (Red&lt;Green). So, C is not in (Red or Green) as it's not left of Red and not left of Green. This means it must be at the Blue House.
2. D is next to C but not in Red House, so D is also not in Red House and not in the Green House. Thus, D should be in the Blue House.
3. B is not in Green House. So, B is in the Red House or Blue House. Since B cannot be in the Red House, B must be in the Blue House.
Now, we have the distribution of animals in the houses:
Cat (C) lives in Blue House (C&lt;Blue)
Dog (D) lives in Blue House (D&lt;Blue)
Bird (B) lives in Blue House (B&lt;Blue)
FINAL_ANSWER: The Cat lives in Blue House.</t>
  </si>
  <si>
    <t>28z1</t>
  </si>
  <si>
    <t>A hexagonal room has six statues placed evenly around the perimeter. They are labeled 1 through 6 in clockwise order, starting from the top (statue 1 is at the â€œNorthâ€ position). A note gives clues: Statue 4 is directly opposite Statue 1. The hidden lever is two positions clockwise from Statue 6. Statue 3 is directly to the left of Statue 2 (based on facing inward). Which statue has the hidden lever?</t>
  </si>
  <si>
    <t xml:space="preserve"> The final answer for the hidden lever is Statue 5.</t>
  </si>
  <si>
    <t>28z2</t>
  </si>
  <si>
    <t xml:space="preserve"> The hidden lever is with Statue 4. Since the hidden lever is two positions clockwise from Statue 6, and if you count clockwise from 6, you get 7, 8, 1, and then 4 when reaching 6's position again (going past the starting point), 4 is directly opposite 1 and can be referred back to as Statue 4 which is the one opposite Statue 1.</t>
  </si>
  <si>
    <t>28z3</t>
  </si>
  <si>
    <t xml:space="preserve"> The hidden lever is at Statue 5.</t>
  </si>
  <si>
    <t>28c1</t>
  </si>
  <si>
    <t xml:space="preserve"> Let's analyze this problem step by step to find out which statue holds the hidden lever.
Step 1: Identify where the "hidden lever" is mentioned - It's mentioned to be "two positions clockwise from Statue 6."
Step 2: Find the position of Statue 6 - The clue tells us that "Statue 4 is directly opposite Statue 1." So we know that Statue 4 is one position above or below Statue 1. In a hexagon, these two positions would be at the opposite sides, creating an X-like pattern. Since Statue 1 is at the "North" position, we assume that Statue 4 is at the "South" position. Knowing the position of both Statue 1 and Statue 4, we can identify the position of the other statues by going clockwise, as we have been instructed.
Step 3: Identify the positions of the other statues:
1. Going clockwise from Statue 4 (South), we reach Statue 5 (East).
2. Next, it's Statue 6 (West) - which is our reference for finding the position of the hidden lever.
3. Continuing clockwise, Statue 3 (North) is positioned, and now we are back to Statue 1 (South).
Step 4: Determine the position of the hidden lever - From the given information, the hidden lever is "two positions clockwise from Statue 6." Considering the sequence in step 3, the next two positions after Statue 6 would be Statue 3 and then Statue 1.
Step 5: Conclude the answer - The hidden lever is in Statue 1 (South). The reasoning is based on the initial clue of Statue 4 being opposite Statue 1, understanding the order of the other statues in a clockwise direction, and using the clue about the hidden lever being two positions clockwise from Statue 6.</t>
  </si>
  <si>
    <t>28c2</t>
  </si>
  <si>
    <t xml:space="preserve"> To find the position of the hidden lever, we need to determine its relation to the other statues mentioned in the note. Let's analyze the given information step by step:
1. Statue 4 is opposite Statue 1: If they are directly opposite, that means Statue 4 is 90 degrees or one-sixth of a full circle away from Statue 1.
2. The hidden lever is two positions clockwise from Statue 6. Let's assume the room is divided into equal segments by the statues, each segment being 60 degrees. To be two positions clockwise, we need to move in the clockwise direction twice. So, moving once should take us to the same angle as the other two adjacent statues and moving again will put us at the hidden lever position.
3. Statue 3 is to the left of Statue 2 when facing inward: This means if we start from Statue 2, we would move in an anticlockwise direction towards Statue 3. Since this is different from moving clockwise, it doesn't affect our search for the hidden lever.
Now that we've analyzed the information given, let's use it to locate the hidden lever:
1. Statue 4 (opposite Statue 1) is a quarter-turn away. So, moving two more times clockwise will take us two steps further, leading to a total of three quarter-turns or half a turn.
2. Moving one quarter-turn clockwise from Statue 1 brings us to Statue 5.
3. A second quarter-turn clockwise from Statue 5 brings us to Statue 6.
4. Continuing on the same path, a final quarter-turn from Statue 6 brings us to the hidden lever. This corresponds to statue number 7.
The final answer is the hidden lever is in Statue 7. This reasoning was based on understanding the relationships between the statues mentioned in the note and using the concept of evenly distributed angles around a circle.</t>
  </si>
  <si>
    <t>28c3</t>
  </si>
  <si>
    <t xml:space="preserve"> Step 1: Identify the location of the hidden lever and its relative position to Statue 6. We know that it is two positions clockwise from Statue 6.
Step 2: Determine the positions of the statues clockwise from Statue 6. If we start from the North, going clockwise, we have: 1, 2, 3, 4, 5, and finally Statue 6.
Step 3: Count two positions clockwise from Statue 6. In the given list, after Statue 6, we have Statue 5 and then Statue 4. The count stops at the third statue from the clockwise end, which means the hidden lever is not found in the direct path but in the next rotation.
Step 4: Now, let's continue the clockwise count from Statue 5. From 5, we go to 6, and then to 1. This brings us back to the starting point but in a different order.
Step 5: In this newly found pattern, we have identified that the hidden lever is three positions clockwise from Statue 6.
Step 6: Re-count the positions clockwise starting from Statue 6 in the original list: 1, 2, 3, 4, 5, and 6. Moving three positions clockwise from 6, we find the statues 7, 8, and finally 9 (since there are no more statues). The hidden lever is in Statue 9.
Final Answer: The statue with the hidden lever is Statue 9. The reasoning involved understanding the clues given about the positions of the statues around the hexagonal room, following the hints in order, keeping track of the mentioned rotations, and identifying the correct location relative to the given information.</t>
  </si>
  <si>
    <t>28d1</t>
  </si>
  <si>
    <t xml:space="preserve"> Step 1: Key Clues in the puzzle: 
- Six statues in a hexagonal room
- Placed evenly around the perimeter
- Labeled from 1 to 6 in clockwise order (starting from North position)
- Statue 4 is opposite Statue 1
- Hidden lever is two positions clockwise from Statue 6
- Statue 3 is left of Statue 2 when facing inward
Step 2: Interpretation of Clues:
- A hexagonal room with six statues arranged around it
- The statues are labeled sequentially from 1 to 6
- The order starts from the North position, with statue 1
- Statue 4 is on the same line with Statue 1, forming an invisible line across the room, opposite sides
- The hidden lever is two steps clockwise from where Statue 6 would be if it were on the same line as statue 1
- Statue 3 is positioned to the left side (when we face inward) of Statue 2
Step 3: Combining the clues: 
- Since Statue 4 is opposite Statue 1, we know that they are on the same line. Moving two positions clockwise from Statue 6, we can find another position which is also on the same line as Statue 1. So, the hidden lever will be at the same line as Statue 1.
- We need to find the position two steps clockwise from Statue 6's position. Considering the clockwise order of the statues, Statue 6 is after Statue 5 and before Statue 7. If we move two positions clockwise from Statue 6, we would end up at Statue 7.
FINAL_ANSWER: The hidden lever is at Statue 7.</t>
  </si>
  <si>
    <t>28d2</t>
  </si>
  <si>
    <t xml:space="preserve"> Step 1: Key clues - Numbered statues, clockwise order, starting from the top, "North" position for Statue 1, Statue 4 opposite Statue 1, hidden lever is two positions clockwise from Statue 6, Statue 3 left of Statue 2 (facing inward).
Step 2: Clues Implications - All statues have a specific order and position in the room. Statue 4 and Statue 1 are opposites due to being equidistant from each other when facing inwards. The hidden lever is found by counting from Statue 6 in a clockwise direction. Statue 3 is closer to Statue 2 when facing inwards.
Step 3: Combine the clues - Statue 6 is on the opposite side of the room from Statue 1, but since we need to count from Statue 6, we will consider them separate. From Statue 6, go clockwise to find the hidden lever. Two positions clockwise from Statue 6 would be Statue 7 if it were there. However, the last statue in the hexagonal room is actually Statue 5. Therefore, there's no more room after Statue 5 for the hidden lever. To align with the given clue of being two positions clockwise from Statue 6, one needs to skip Statue 5 and go to the next position (Statue 6) to reach the required position. This leaves us with Statue 6.
FINAL_ANSWER: &lt;Answer&gt; Statue 6 has the hidden lever.</t>
  </si>
  <si>
    <t>28d3</t>
  </si>
  <si>
    <t xml:space="preserve"> Step 1: Key clues in the puzzle:
- Room shape and arrangement
- Six statues with labels 1-6 in clockwise order
- Top position - "North" position
- Statue 4 is opposite Statue 1
- Hidden lever location
- Two positions clockwise from Statue 6
- Statue 3 is to the left of Statue 2 while facing inward
Step 2: Interpretation of each clue:
- The room is shaped like a hexagon, with each side having a statue
- Each statue is labeled sequentially in a clockwise order, starting from the top
- The top position is referred to as the "North" position (Statue 1)
- Statue 4 is on the opposite side of the hexagon compared to Statue 1
- The hidden lever is mentioned to be two positions clockwise from Statue 6
- Statue 3 is positioned two places to the left of Statue 2 while considering the inside view of the room
Step 3: Combine the clues to reach a conclusion:
- From the positions of Statue 1 and 4 given that they are opposites, we can find the counterclockwise position from 1 and clockwise position from 4. These could potentially lead to the location of the hidden lever.
- The clockwise and counterclockwise placements from Statue 1 include Statue 2 and Statue 5. However, Statue 5 is not on the same side as Statue 6 mentioned for the hidden lever's position.
- If we take the opposite side of Statue 1 and move two more positions clockwise from it, we get Statue 3, which aligns with our knowledge about the relative positions of Statue 3 being next to 2 when facing inward.
- In this case, Statue 3 would be two positions to the left or one position clockwise from Statue 2. This means that the hidden lever should be two positions clockwise from Statue 6, which would place it between Statue 4 and 5.
FINAL_ANSWER: &lt;Answer&gt; Hidden lever is near the position of Statue 4 or Statue 5, based on their relative placements to Statue 6</t>
  </si>
  <si>
    <t>28v1</t>
  </si>
  <si>
    <t xml:space="preserve"> FINAL_ANSWER: Hidden_Lever_Statue: 5
Solving the puzzle step by step:
1. Identify the positioning of the statues and their relationship with each other.
    - Statue 1 at "North" position
    - Statue 2
    - Statue 3 is directly to the left of Statue 2
    - Statue 4 is directly opposite Statue 1
    - Statue 5
    - Statue 6
2. Identify the position of the hidden lever.
    - The hidden lever is two positions clockwise from Statue 6.
3. Count clockwise from Statue 6 to find its position.
    - Statue 7 would be one position clockwise, but there's no statue.
    - Statue 8 would be two positions clockwise, but there's no statue.
    - Moving further clockwise, we can find that statue 5 is directly opposite Statue 2.
4. Check the given clues for consistency.
5. Since all the clues are consistent and the answer found (Hidden_Lever_Statue: 5) is indeed two positions clockwise from Statue 6, it seems we have a valid solution. Output the final answer as: FINAL_ANSWER: Hidden_Lever_Statue: 5</t>
  </si>
  <si>
    <t>28v2</t>
  </si>
  <si>
    <t xml:space="preserve"> To solve this puzzle, let's analyze the given clues and place the statues accordingly.
1. Place Statue 4 directly opposite Statue 1 (at the "North" position) on the other side of the room (let's say it's at the "South" position).
2. Since the hidden lever is two positions clockwise from Statue 6, we need to find a position that's one step clockwise and another step clockwise from the 'South' position. Going one step clockwise gets us to the "East" position. Going another step clockwise from 'East' brings us to the "West" position. Now, we place Statue 5 in the 'East' position and Statue 3 in the 'West' position.
3. Statue 3 is to the left of Statue 2, which means they're in the same 'West' quadrant. We can assume Statue 2 is between Statue 3 and 4, so let's put it right in the middle of that line.
Now let's see whether our placement of the statues satisfies all the clues:
1. The 'North' position has Statue 1, while the 'South' position has Statue 4, which are opposite each other (clue confirmed).
2. The hidden lever is stated to be two positions clockwise from Statue 6, which is on the 'South' side (let's call it 'Lever' as it's the hidden lever). According to our setup, we have Statue 3 in the 'West' position, one step clockwise from the 'Lever'. Statue 5, which is two steps clockwise from 'Lever', is in the 'East' position - this matches the clue about the hidden lever.
3. Statue 3 is on the 'West' side and is directly to the left of Statue 2, which was also placed according to the given clue.
The answer seems to satisfy all clues, so our final solution is: FINAL_ANSWER: &lt;Answer&gt; Hidden Lever is at Statue 5.</t>
  </si>
  <si>
    <t>28v3</t>
  </si>
  <si>
    <t xml:space="preserve"> Step 1: Identify the given information
- A hexagonal room with six statues
- Labeled 1 through 6 in clockwise order
- Statue 4 is opposite to 1
- Hidden lever is two positions clockwise from 6
- Statue 3 is to the left of 2
Step 2: Determine the relative positions of the statues based on the given clues
- Since Statue 4 is directly opposite to 1, then 1 and 4 are at opposite corners of the hexagon
- The hidden lever is two positions clockwise from 6, so it is between 6 and 7, considering the wraparound from 6 back to 1 in clockwise order.
- Statue 3 is to the left of 2 when facing towards the center, which means they are in the same row, but statue 3 is further away from the center.
Step 3: Connect the relative positions to determine the hidden lever statue
- The hidden lever is placed between 6 and 7, which points to either position 6 or 7. Since there are no clues mentioning a specific position for the hidden lever, we can choose one of these two possibilities.
Final Answer: FINAL_ANSWER: Hidden lever is in either Statue 6 or Statue 7</t>
  </si>
  <si>
    <t>28e1</t>
  </si>
  <si>
    <t xml:space="preserve"> Clues:
1. A hexagonal room with six statues.
2. Statues are placed evenly around the perimeter.
3. Labeled 1 through 6 in clockwise order, starting from the top (statue 1 is at the "North" position).
4. Statue 4 is directly opposite Statue 1.
5. The hidden lever is two positions clockwise from Statue 6.
6. Statue 3 is directly to the left of Statue 2 when facing inward.
Reasoning:
1. We have a hexagon with statues numbered 1 through 6, and statue 1 is at the top or "North".
2. We know that the arrangement is clockwise and we can see their locations in relation to each other by connecting the dots.
3. Statue 4 is opposite Statue 1, which puts Statue 4 at the position opposite the top ('South' position)
4. Two positions clockwise from Statue 6 would be moving clockwise in a counter-clockwise direction. So, going 2 positions clockwise from position 6, it takes us to position 8 as the numbers go in clockwise order.
5. Statue 3 is directly to the left of Statue 2, which means Statue 3 is one position counter-clockwise of Statue 2. This puts Statue 3 at position 7.
6. Now, when we combine all the information we have:
   - Statue 4 is opposite Statue 1 (in the 'South' position), so it's at position 6 (opposite of 'North').
   - Hidden lever is two positions clockwise from Statue 6, taking us to position 8 as mentioned earlier.
   - Statue 3 is one position counter-clockwise of Statue 2, taking us to position 7.
FINAL_ANSWER: &lt;The hidden lever is at Statue 8.&gt;</t>
  </si>
  <si>
    <t>28e2</t>
  </si>
  <si>
    <t xml:space="preserve"> Clues:
1. A hexagonal room with six statues.
2. Labeled 1 to 6 in clockwise order.
3. Top position (statue 1) is the "North" position.
4. Statue 4 is directly opposite Statue 1.
5. Hidden lever is two positions clockwise from Statue 6.
6. Statue 3 is directly to the left of Statue 2 when facing inward.
Reasoning: To find the statue with the hidden lever, we need to know its position. We have the clue "hidden lever is two positions clockwise from Statue 6". Since there are six statues and clockwise means moving around them in that order, the two positions clockwise from Statue 6 would be Statue 7 and Statue 8 if they existed. However, only 6 statues are mentioned so the two positions would effectively wrap around to Statue 1 and 2. Since these are not specified to be the hidden lever, it could be any other statue between Statue 7 or Statue 1. We don't have enough information about the relationship between these two positions with the rest of the clues. FINAL_ANSWER: It is inconclusive as more context is needed.</t>
  </si>
  <si>
    <t>28e3</t>
  </si>
  <si>
    <t xml:space="preserve"> Clues provided:
1. Hexagonal room with six statues placed around the perimeter.
2. Labeled 1 to 6 in clockwise order from the top.
3. Statue 4 is directly opposite Statue 1.
4. The hidden lever is two positions clockwise from Statue 6.
5. Statue 3 is directly to the left of Statue 2 when facing inward.
Analyzing the clues:
1. We know that statues are arranged in a clockwise pattern and can be identified by their numbers.
2. The initial clockwise order is known for each statue.
3. Statue 4 is the one directly opposite Statue 1.
4. Statue 6 has the hidden lever which is two positions clockwise from it.
5. This means the statue next to Statue 2 on the left (facing inwards) is Statue 3.
Finding the statue with the hidden lever by reasoning through the relationships given:
- If we start from the known order (1, 2, 3, 4, 5, 6), then moving two positions clockwise from the end (Statue 6) is Statue 8 (since 6 + 2 = 8). However, there's no Statue 8 mentioned. Instead, we have a Statue 7 which is a position between Statue 6 and Statue 8. Therefore, it would be incorrect to say Statue 7 has the hidden lever.
- If we move one position clockwise from Statue 6, we get Statue 7. It doesn't make sense here because the note states that the hidden lever is two positions clockwise from Statue 6.
- The last possibility would be to consider the indirect relationship provided between Statue 3 and 2. Since Statue 3 is to the left of Statue 2, we can calculate how many positions clockwise it is. Moving one position clockwise from Statue 2, we get Statue 3. From Statue 3 to Statue 5, it's just one more position clockwise. Then, moving two more positions clockwise from Statue 5 (which is the statue before Statue 6), we arrive at Statue 7. This</t>
  </si>
  <si>
    <t>28g1</t>
  </si>
  <si>
    <t xml:space="preserve"> Clues:
1. Room shape: Hexagonal
2. Six statues
3. Placed evenly around the perimeter
4. Labels: 1-6, clockwise starting from top, North position is 1
5. Statue 4 is opposite 1
6. Hidden lever is two positions clockwise from Statue 6
7. Statue 3 is left of 2 based on inward facing
Solution:
1. Identify North position as Statue 1
2. Determine Statue 4 is opposite 1 (4 is 2 steps counterclockwise)
3. Find the hidden lever is 2 positions clockwise from Statue 6 (it's 2 steps counterclockwise, so it's at position 4)
4. Statue 3 is to the left of 2 (facing inwards)
5. Link the statues and their position: 1(N), 2, 3, 4 (opposite 1), 5, 6 (hidden lever)
6. The final answer is the hidden lever which is at position 4 (Statue 4)
FINAL_ANSWER: Statue 4</t>
  </si>
  <si>
    <t>28g2</t>
  </si>
  <si>
    <t xml:space="preserve"> Clue analysis:
1. "A hexagonal room has six statues placed evenly around the perimeter." =&gt; Room has six statues arranged along its edges.
2. "They are labeled 1 through 6 in clockwise order, starting from the top (statue 1 is at the â€œNorthâ€ position)." =&gt; Statue numbering starts from top to bottom following clockwise direction. Statue 1 is the top one.
3. "Statue 4 is directly opposite Statue 1." =&gt; Statue 4 is at a position that faces Statue 1.
4. "The hidden lever is two positions clockwise from Statue 6." =&gt; The hidden lever is positioned between Statue 6 and Statue 7 when moving clockwise.
5. "Statue 3 is directly to the left of Statue 2 (based on facing inward)." =&gt; When facing inward, Statue 3 is to the left of Statue 2.
Solution:
1. Follow the given order for identifying the position of the hidden lever. As we need to be two positions clockwise from Statue 6.
2. Identify these two positions from the clockwise order as given in clue 2.
   Clockwise: 1, 2, 3, 4, 5, 6 (from Statue 1), 7 (Statue 6)
   Two positions clockwise from Statue 6 will be 7 (Statue 7) and 8. Since there are no positions beyond Statue 7 (in a hexagon), we take Statue 7.
3. Find the corresponding statue number among Statue 1, 2, 3, 4, 5, and 7. In the clockwise order, Statue 7 is identified as the first in its row.
FINAL_ANSWER: &lt;Answer&gt; Statue 7</t>
  </si>
  <si>
    <t>28g3</t>
  </si>
  <si>
    <t xml:space="preserve"> 
1. Clues:
- A hexagonal room with six statues placed evenly around the perimeter.
- Labeled 1 through 6 in clockwise order, starting from the top (statue 1 is at the "North" position).
- Statue 4 is directly opposite Statue 1.
- The hidden lever is two positions clockwise from Statue 6.
- Statue 3 is directly to the left of Statue 2 (based on facing inward).
2. Interpretation of clues:
- We need to visualize a hexagonal room with six statues and their labeling order.
- To find the hidden lever's location, we should look at the clues given about the relationships between the statues and their respective labels.
3. Solving using the given clues:
- Statue 4 is opposite statue 1 (since they are directly across from each other)
- Statue 3 is to the left of statue 2 (when looking inward, toward the center)
- The hidden lever is two positions clockwise from statue 6
Now let's figure out the relationship between the statues and their positions:
- Statue 1 (north) -&gt; Statue 2 (east) -&gt; Statue 3 (south-east) -&gt; Statue 4 (south) -&gt; Statue 5 (south-west) -&gt; Statue 6 (west) -&gt; Statue 1 (north)
- Statue 2 is opposite Statue 6
- Since the lever is two positions clockwise, it will be two positions before the next statue after statue 6: Statue 5.
FINAL_ANSWER: Statue 5 has the hidden lever.</t>
  </si>
  <si>
    <t>28s1</t>
  </si>
  <si>
    <t xml:space="preserve"> In the given puzzle, we'll translate all the relationships and connect them to find the answer.
Step 1: Convert the clockwise order of the statues to a linear order.
Top: 1 (North)
Right of Top: 2
Right of Right of Top: 3
Right of Right of Right of Top: 4 (Opposite of 1)
Bottom: 5
Left of Bottom: 6 (Hidden Lever two positions clockwise from 6)
Step 2: Convert the given relationships into structured relationships.
1 is North of 1: 1&lt;1
4 is Opposite of 1: 4&lt;&gt;1
3 is Left of 2: 3&lt;2
5 is Below of 1: 5&lt;1
6 is HiddenLeaver two positions clockwise: 6&gt;6-2
Step 3: Solve the puzzle using these relationships.
The hidden lever is mentioned to be at position 6, but it's two positions clockwise. So, we need to move two steps back from position 6. Moving two steps clockwise means moving towards the South direction. Therefore, we will find a position which is South of 6.
South of 6 is position 5 (Below of 1), since it's the only position below 6.
FINAL_ANSWER: &lt;Position 5&gt; has the hidden lever.</t>
  </si>
  <si>
    <t>28s2</t>
  </si>
  <si>
    <t xml:space="preserve"> Translated relationships:
1. A is left of B becomes A&lt;B (for position)
2. C is directly opposite D becomes C&lt;&gt;D (for being direct opposites)
3. E is two positions clockwise from F becomes |E-F|=2 (for distance)
4. G is to the left of H becomes G&lt;H (for position)
5. I is in the center of the room becomes I in center
Now with these translated relationships, we can solve the puzzle step by step:
1. We know Statue 4 is opposite Statue 1, so 4&lt;&gt;1 (C&lt;&gt;D)
2. Statue 3 is to the left of statue 2, so 3&lt;2 (G&lt;H)
3. The hidden lever is two positions clockwise from Statue 6, so |H-6|=2, where H is the position of the hidden lever.
4. The hidden lever is not found in the statue positions mentioned yet.
To find the hidden lever, let's consider the given relationships and positions:
- Statue 1 is at the North
- Statue 4 is opposite 1, so 4 is also at the North
- Statue 5 is in the center, as it's not a direct opposite or clockwise/counterclockwise related to other statues
- Statue 6 is 1 position away (in clockwise order) from the center (Statue 5), so 6 = 5 + 1
Now that we have the positions, we can calculate the position of the hidden lever using the clockwise relationship: |6 - H| = 2
Let H be the position of the hidden lever. If H is not equal to 6, then the difference between 6 and H is less than 2. However, if |6 - H| = 2, it means H is exactly 6 (the other endpoints for this clockwise relationship will result in a distance less than 2). Thus, the hidden lever is Statue 6.
FINAL_ANSWER: &lt;Answer&gt; is Statue 6</t>
  </si>
  <si>
    <t>28s3</t>
  </si>
  <si>
    <t xml:space="preserve"> To translate the given puzzle into structured relationships, we can use different data structures like lists and dictionaries. We will assign a label and a position for each statue. Then, we'll represent relationships between these statues based on the clues provided.
1. Create a list for statues and their positions:
   statues = ['A', 'B', 'C', 'D', 'E', 'F']
   positions = {'A': 'North', 'B': 'West', 'C': 'South', 'D': 'East', 'E': 'North-East', 'F': 'South-East'}
2. Add information about clockwise order:
   clockwise_order = [1, 2, 3, 4, 5, 6]
3. Use the clue about Statue 4 being opposite to Statue 1:
   opposite_clue = {1: 4}
4. Use the clue about the hidden lever being two positions clockwise from Statue 6:
   hidden_lever_clue = {6: 8}
5. Use the clue about Statue 3 being to the left of Statue 2:
   relative_positions = {'C': 'Left', 'E': 'Right'}
Now we have all the necessary information translated into structured relationships. Next, let's solve the puzzle using this structure:
1. Calculate the positions related to clockwise order.
   clockwise_positions = {statues[i]: clockwise_order[i] for i in range(len(clockwise_order))}
2. Determine the statue with the hidden lever based on the given clues.
   hidden_lever = statues[hidden_lever_clue[statues[6]]]
3. Now we can calculate the FINAL_ANSWER using the relationships we've translated earlier.
   FINAL_ANSWER: &lt;Answer&gt; = hidden_lever</t>
  </si>
  <si>
    <t>29z1</t>
  </si>
  <si>
    <t>Solve this riddle: â€œI am the door that always opens but never closes. I point you forward but move you back. I am seen before arrival and after departure.â€ Which door am I? Options: A. Exit Door B. Glass Door C. Labra Door D. Submarine Door</t>
  </si>
  <si>
    <t xml:space="preserve"> The final answer is A. Exit Door.</t>
  </si>
  <si>
    <t>29z2</t>
  </si>
  <si>
    <t xml:space="preserve"> The final answer is A. Exit Door. This door represents a concept of ending or leaving, which can be seen as the door that opens when you're ready to leave (opening) but still remains behind (not closing). It also hints at the idea of moving towards the next phase or move, hence pointing forward. Furthermore, it represents the experience of looking back at something that has passed or ended, as suggested by the phrase "seen before arrival and after departure."</t>
  </si>
  <si>
    <t>29z3</t>
  </si>
  <si>
    <t>29c1</t>
  </si>
  <si>
    <t xml:space="preserve"> To solve this puzzle, let's analyze each option one by one based on the given description of the door. We need to find a door that meets all the requirements mentioned in the riddle.
A. Exit Door - This door is meant for people to leave a room or place. It might open when someone comes out, but it doesn't necessarily mean it always opens and never closes (as it could potentially close). So, it may not fully align with the given statement.
B. Glass Door - The primary function of a glass door is to separate two spaces while allowing visual access. Although it doesn't close completely (it has gaps), it doesn't 'always open but never close' like the riddle implies. Therefore, it's also not an ideal match.
C. Labra Door - There seems to be no specific door named "Labra Door" in existence. Thus, this option is invalid since it's not a known type of door.
D. Submarine Door - A submarine door typically serves as an entrance and exit point for personnel to get in and out of the vessel. The fact that it's used both ways doesn't prevent it from opening every time a person needs to access the submarine. Furthermore, submarines have a door that separates the internal space from the underwater environment, kind of 'pointing you forward and moving you back' during the transition.
Based on our analysis, Option D. Submarine Door best represents the door mentioned in the riddle. It fits all the criteria: it always opens to allow entry or exit but never closes (the door is usually left open when not in use), it shows the way forward but also moves you back in reference to your location (you go from inside the submarine to outside, and vice versa), and it can be seen before arrival (when entering) and after departure (when leaving). So, the final answer is the Submarine Door.</t>
  </si>
  <si>
    <t>29c2</t>
  </si>
  <si>
    <t xml:space="preserve"> To solve this puzzle step by step, let's analyze each statement made about the door in relation to the given options.
1. "I am the door that always opens but never closes." This rule eliminates option B (Glass Door), as it is not a door. It also eliminates option A (Exit Door) and option C (Labra Door), since exit and labra doors are commonly considered 'closed' when not in use. Option D (Submarine Door) can be open or closed and operates similarly to an exit door, so it doesn't clearly fulfill the rule mentioned.
2. "I point you forward but move you back." This statement seems contradictory but could possibly imply that it guides a person towards something without necessarily taking them to their intended goal. Out of our options, only option D (Submarine Door) might have this property, as submarines can be used for moving people across distances, yet they don't always reach the exact destination.
3. "I am seen before arrival and after departure." This statement implies that the door is visible at the start and end of one's journey, which indicates that it serves a significant purpose during both initial and final stages of a path. This feature aligns with option D (Submarine Door), as it would be visible when boarding and disembarking from the submarine.
Considering all these points together, we can conclude that the most fitting answer among the given options is Option D: Submarine Door. It closely matches the provided riddle's criteria by being a door-like structure, symbolizing movement, and being visible at both the start and finish of a journey. However, it's important to note that no perfect match exists within the stated options, but Option D comes the closest to fitting all riddle rules.</t>
  </si>
  <si>
    <t>29c3</t>
  </si>
  <si>
    <t xml:space="preserve"> To solve the riddle step by step, let's analyze each given option in relation to the provided description. 
A. Exit Door - This door does not fit the riddle because it often implies a final exit or closure from a certain area. 
B. Glass Door - While glass doors might allow a view of the future and can move people through them, they still close when not in use and don't necessarily suggest the idea of moving back after departing.
C. Labra Door - There is no such thing as a "Labra Door," so we can rule this out without any further analysis.
D. Submarine Door - Submarines have hatches that might be seen before arrival or after departure, but these are not true doors in the context of the riddle. They also don't always open and never close like a typical door would. 
After analyzing all the options, none of them fully match the given description. The riddle might not directly correspond to any real door, but rather might be asking us to think more metaphorically about the concept of doors. It could possibly symbolize a passageway, gate, or any form of transition. In the end, the intended meaning or symbolism of this riddle seems less about a specific door than it is an allegory for life's experiences or transitions. However, none of the provided options were a perfect fit.</t>
  </si>
  <si>
    <t>29d1</t>
  </si>
  <si>
    <t xml:space="preserve"> Step 1: Key clues in the puzzle are: Door, always opens, never closes, points forward, moves back, seen before arrival, seen after departure.
Step 2: Interpreting the clues:
- Always opens suggests the door is not physical and is not a tangible object like an actual door.
- Never closes could imply the door doesn't have a specific purpose or end goal.
- Points forward can be related to the path of life or progression.
- Moves back might suggest reconsideration or reversing decisions.
- Seen before arrival could mean it is visible before reaching a certain point or stage.
- Seen after departure could mean the same as above, related to reaching a new stage or destination.
Step 3: Combining the clues - The door mentioned in the puzzle doesn't fit the typical definition of a door. It is more related to life and its stages. Out of the given options, option A. Exit Door is closely linked to a journey or life (entrance and exit) but it still doesn't fully encompass all the clues mentioned. Therefore, we can't find an exact match among the given choices. However, based on the provided information, it seems that the door represents the metaphorical concept of doors encountered in various aspects of life.
Final Answer: &lt;Answer&gt; Metaphorical Conceptual Doors in Life</t>
  </si>
  <si>
    <t>29d2</t>
  </si>
  <si>
    <t xml:space="preserve"> Step 1: Key clues are "the door that always opens but never closes", "point you forward but move you back", "seen before arrival and after departure".
Step 2:
- The door that always opens but never closes: This implies it is not a regular door that swings both ways.
- Point you forward but move you back: This suggests the door moves people in a certain direction, although they might perceive themselves moving in another direction.
- Seen before arrival and after departure: This hints that the door could be a metaphorical or symbolic door which people encounter during specific stages of their journey.
Step 3: Combining the clues, we can analyze each option to see if it matches the given description.
A. Exit Door - This door only closes once you leave a place. It doesn't open indefinitely, so it doesn't fulfill "always opens but never closes" part.
B. Glass Door - This door doesn't have the characteristics mentioned like always opening or pointing people in a specific direction.
C. Labra Door - This is an unknown term and doesn't provide any clear meaning based on the given context.
D. Submarine Door - A submarine door indeed has a unique characteristic. Submarines require the entry door to be closed when submerged and opened when at surface. However, this door doesn't match the description of "pointing you forward but moving you back".
Final Answer: Given options A, B, C, and D don't fully align with all the key clues provided in the puzzle, it is likely that there may be no exact answer among these choices, possibly indicating the door might be a metaphorical one. However, without more context or additional information, we cannot definitively pinpoint the correct door from these options.</t>
  </si>
  <si>
    <t>29d3</t>
  </si>
  <si>
    <t xml:space="preserve"> Step 1: Key clues in the puzzle are: "always opens but never closes", "point you forward but move you back", "seen before arrival and after departure". Step 2: The first clue implies an entrance that is perpetually open. Second clue seems to describe a motion which goes backward despite a forward-facing orientation. The third clue suggests visibility prior to entering or leaving the space. Step 3: Analyzing the options given, we can eliminate some doors based on these interpretations. Option A (Exit Door) has the opposite nature of opening/closing. Option B (Glass Door) can have a good view from outside and also after departing. Option C (Labra Door) seems not to be a known type of door. Option D (Submarine Door) suggests it could possibly meet the criteria of opening only, moving in reverse, and being seen from various angles. None of the other options seem to perfectly fit all the clues given. Therefore, the final answer is: FINAL_ANSWER: &lt;Answer&gt; Submarine Door.</t>
  </si>
  <si>
    <t>29v1</t>
  </si>
  <si>
    <t xml:space="preserve"> First, analyze each option to see if it matches the description given in the riddle.
A. Exit Door - This door is often associated with leaving a place. It doesn't align with "the door that always opens but never closes." It also doesn't suggest pointing forward or moving back.
B. Glass Door - This option is more about the type of material rather than its function. It doesn't fit the riddle description either.
C. Labra Door - Labra seems to be an unrelated term or name. The door doesn't have any specific association to the given description.
D. Submarine Door - This door could be related to entering and exiting a submarine, which could imply arrival before the arrival and departure after the departure. However, submarine doors are not typically the ones that always open but never close, and they don't point you forward while moving you back.
After analyzing all options, none of them seem to satisfy all aspects of the riddle. Therefore, there might be an error in the options provided. To create a valid answer, we can construct our own option based on the given riddle.
FINAL_ANSWER: Mythical Door - This door always opens but never closes due to its magical nature. It points the way forward and, by using its powers, moves you back in time. It is visible before arrival and remains standing even after departure.</t>
  </si>
  <si>
    <t>29v2</t>
  </si>
  <si>
    <t xml:space="preserve"> Solving the riddle, we have to find a door that represents each of the given statements.
1. "I am the door that always opens but never closes." - This suggests a door that can be opened but not closed, meaning it's like a frame or a passage.
2. "I point you forward but move you back." - This implies a door that symbolizes motion or progression, which can also mean going backward.
3. "I am seen before arrival and after departure." - This statement describes a door that is experienced at the beginning and end, making it meaningful in a journey.
Now let's analyze our options:
A. Exit Door - While an exit door symbolically 'opens' the way out for people, it doesn't quite match the other descriptions as well.
B. Glass Door - It is just a type of door that might or might not fulfill the condition.
C. Labra Door - This seems to be a non-existent or made-up door, so it's not suitable for this riddle.
D. Submarine Door - A submarine door is indeed only opened or closed but cannot close while still open. Moreover, boarding a submarine involves leaving and returning, connecting with all three descriptions.
Final Answer: FINAL_ANSWER: Submarine Door</t>
  </si>
  <si>
    <t>29v3</t>
  </si>
  <si>
    <t xml:space="preserve"> The answer should satisfy each clue. Let's evaluate the options against the given clues:
1. Always opens but never closes - This doesn't fit for all options as every door has to close at some point.
2. Points you forward but moves you back - A. Exit Door, which points outwards, can be considered moving in a sense that it ends one journey and starts another. B. Glass Door doesn't fulfill this condition. C. Labra Door is a unique option, not commonly known, so we can assume it behaves like other doors. D. Submarine Door doesn't make any sense as it is a part of a submarine.
3. Seen before arrival and after departure - A. Exit Door might be seen when boarding and just after disembarking a vehicle or place, fitting this clue. B. Glass Door can also fit this since it's often seen both entering and leaving a building. C. Labra Door isn't common, so we assume it could also fit like other doors. D. Submarine Door doesn't make sense again.
Comparing the clues with the options, A. Exit Door seems to fit the clues better than the others. Let's solve using this option. So, the final answer would be: FINAL_ANSWER: Exit Door</t>
  </si>
  <si>
    <t>29e1</t>
  </si>
  <si>
    <t xml:space="preserve"> Clue 1: I am the door that always opens but never closes.
Clue 2: I point you forward but move you back.
Clue 3: I am seen before arrival and after departure.
Given these clues, we can consider the options one by one:
A. Exit Door - This is a door that typically opens when people want to leave a building, making it seem like it "always opens" but might close behind people when they leave, resembling "never closing." However, this doesn't address the other clues about pointing forward, backward movement, or being seen during the departure or before arrival.
B. Glass Door - A glass door can be opened and have a forward-pointing handle but still doesn't fit the descriptions of backward movement and being seen during departure or before arrival.
C. Labra Door - There is no such door as a "Labra Door," which seems to be a typo or an unrelated object. Therefore, this option cannot match any clue.
D. Submarine Door - A submarine door is a type of door used in submarines. It could potentially open and close often, similar to the "always opens, never closes" aspect. Additionally, it could point forwards during departure and move people back during arrival or departure when the boat submerges or surfaces. This door might be seen before arrival and after departure.
FINAL_ANSWER: &lt;Submarine Door&gt; Submarine Door best fits all given clues compared to the other options provided. The door has a resemblance to the riddle in terms of opening and closing behavior and its functionality during the arrival and departure of the submarine.</t>
  </si>
  <si>
    <t>29e2</t>
  </si>
  <si>
    <t xml:space="preserve"> Clues given: 
1. Always opens but never closes (door's function)
2. Points forward (directional aspect)
3. Moves people back (opposite of forward movement)
4. Seen before arrival (arrival or entrance)
5. Seen after departure (departure or exit)
Now let's reason based on the provided clues: We have four options for doors. We need to find which door matches these given characteristics.
Option A: Exit Door - It usually doesn't close, points people out of a space (forward), may move people backwards when they push, typically seen after departure. This is fitting, but it should also be open when someone arrives.
Option B: Glass Door - Could be both a door and a window, hence could meet the condition of opening and 'pointing' in a way. However, it doesn't 'move you back' and doesn't directly relate to arrivals and departures.
Option C: Labra Door - No known context or reference related to a door.
Option D: Submarine Door - This option aligns well with the characteristics given. It can open and never close since submarines don't have hinges (they slide). It can point people in a direction when they are about to enter and exit (like diving into the water), moving them back as they submerge. Lastly, submarines are seen before embarkation (arrival) and disembarkation (departure). 
FINAL_ANSWER: &lt;Submarine Door&gt;</t>
  </si>
  <si>
    <t>29e3</t>
  </si>
  <si>
    <t xml:space="preserve"> Clue 1: Always opens but never closes - The door remains open permanently without closing.
Clue 2: Points you forward but moves you back - The door's function implies a push or pull effect in a specific direction.
Clue 3: Seen before arrival and after departure - The door is observed during these time periods when entering or leaving.
Now reasoning with the given clues, we can eliminate certain options. A. Exit Door usually refers to a specific door near the exit. It doesn't fulfill Clue 1 as it could close. B. Glass Door can be left open, thus fitting Clue 1. However, it doesn't fit the description of moving people back, so it's not precise. C. Labra Door doesn't seem to be a commonly known term for a door. D. Submarine Door is specific to submarines and may not have a clear relation to the provided clues.
Considering the clues and eliminating irrelevant options, we can see that B. Glass Door seems the most fitting answer as it can indeed be a door that remains open but still fulfills the other clues. FINAL_ANSWER: &lt;Glass Door&gt;</t>
  </si>
  <si>
    <t>29g1</t>
  </si>
  <si>
    <t xml:space="preserve"> 
1. Clue: I am the door that always opens but never closes
2. Clue: I point you forward but move you back
3. Clue: I am seen before arrival and after departure
4. Analyze the options and clues
5. Eliminate unrelated options (C. Labra Door, D. Submarine Door)
6. Remaining options are A. Exit Door and B. Glass Door
7. Compare the characteristics of the remaining options to the clues given
8. A. Exit Door might be related to moving back (the opposite of forward progress), while closing is not a main characteristic of a door.
9. B. Glass Door can open and close, doesn't necessarily point in any specific direction, and isn't typically seen after departure (meaning, it usually stays as-is after someone leaves).
10. No clear fit for the riddle's description was found in the given options.
11. Consider alternative interpretations or revisit the options.
12. FINAL_ANSWER: Unable to find an exact match with the provided options.</t>
  </si>
  <si>
    <t>29g2</t>
  </si>
  <si>
    <t xml:space="preserve"> 
1. "I am the door that always opens but never closes." - This tells us about a quality of the door. It can be open but not close.
2. "I point you forward but move you back." - This implies the door directs people in a specific direction yet moves them in the opposite direction.
3. "I am seen before arrival and after departure." - The door is visible when one has not arrived or left.
4. Options provided: A. Exit Door, B. Glass Door, C. Labra Door, D. Submarine Door
5. Evaluate the options and their compatibility with the given clues.
A. Exit Door - An exit door typically opens and closes but is not related to the other clues mentioned.
B. Glass Door - It can have a door handle, thus it can open like any other normal door, and it could also be transparent, which might fit the description of being seen before arrival and after departure.
C. Labra Door - This doesn't seem to be a known term or existing door type, so it doesn't fit.
D. Submarine Door - A submarine door seems to align well with the "open but not close" concept, as submarine doors require a person to leave or enter through a hatch, but the door itself remains shut. It also points forward when diving, moving the sub in the opposite direction during surfacing. The visibility part can also be true, considering visibility from a submarine would be essential even before arriving or leaving an area.
FINAL_ANSWER: D. Submarine Door</t>
  </si>
  <si>
    <t>29g3</t>
  </si>
  <si>
    <t xml:space="preserve"> Clue 1: "I am the door that always opens but never closes." This means we are looking for a door that is often used to move in and out.
Clue 2: "I point you forward but move you back." The direction in which it moves people may be confusing or counterintuitive.
Clue 3: "I am seen before arrival and after departure." This suggests the door has a specific role or function related to arrivals or departures.
Options:
A. Exit Door - It can be interpreted as a door that people go through when they leave, so it fits the description of always opening.
B. Glass Door - A glass door doesn't really fit the riddle, as it doesn't necessarily have a direct relationship with the actions described in the clues.
C. Labra Door - Labra is not a known door type or entity, making it irrelevant to the context.
D. Submarine Door - While submarines have doors for boarding, it doesn't perfectly align with the idea of opening and not closing.
FINAL_ANSWER: Exit Door</t>
  </si>
  <si>
    <t>29s1</t>
  </si>
  <si>
    <t xml:space="preserve"> First, let's analyze the given statements and define their relationships. We have to find which door represents the riddle.
1. "I am the door that always opens but never closes" means that the door is open and allows passage. This can be represented as the door opening a way for people.
2. "I point you forward but move you back" implies the door might be tricking or misleading in some sense, moving people in one direction while making them end up in another.
3. "I am seen before arrival and after departure" suggests the door is visible both when entering or leaving a place, making it noticeable throughout a person's journey.
Now we can relate these observations to the given options:
A. Exit Door - It's a door usually meant for people to leave. In this case, it doesn't align with the door always being open.
B. Glass Door - It's a see-through door often used at entrances. It doesn't open a way or mislead people like mentioned in the riddle.
C. Labra Door - We couldn't find any information about this door type.
D. Submarine Door - This is a door used underwater, making it less relevant considering the context of the riddle, which mostly concerns regular, land-based doors.
Considering the given relationships and the available options, none of them seem to completely match the conditions mentioned in the riddle. However, if we had to choose an option that somewhat aligns with the essence of the riddle, it could be A. Exit Door since exits are typically open and allow people to leave a place. Remember though, no option is perfect for the provided puzzle. 
FINAL_ANSWER: &lt;A. Exit Door&gt;</t>
  </si>
  <si>
    <t>29s2</t>
  </si>
  <si>
    <t xml:space="preserve"> Relationship translations:
1. "I am the door that always opens but never closes." - &lt;A&gt; is a door that has open-but-not-close behavior
2. "I point you forward but move you back." - &lt;B&gt; points to forward, but also has backward movement
3. "I am seen before arrival and after departure." - &lt;C&gt; is visible both before arrival and after departure
Options comparison:
A. Exit Door - Fits only "I am the door that always opens but never closes" part
B. Glass Door - Fits "I point you forward but move you back" and "I am seen before arrival and after departure" parts
C. Labra Door - Fits "I am seen before arrival and after departure" part
D. Submarine Door - Doesn't fit any of the given statements
FINAL_ANSWER: &lt;Answer&gt; = B. Glass Door</t>
  </si>
  <si>
    <t>29s3</t>
  </si>
  <si>
    <t xml:space="preserve"> First, let's analyze the given puzzle and identify the key phrases to translate into structured relationships:
1. I am the door that always opens but never closes. (This part describes the function of the door)
2. I point you forward but move you back. (This part describes the direction it moves)
3. I am seen before arrival and after departure. (This part talks about when it can be perceived)
Now, let's translate these relationships into a more structured format. We'll use different variables for each option to clearly distinguish them.
A. Exit Door
1. A_Function_AlwaysOpensButNeverCloses
2. A_Direction_PointsForwardMovesBackward
3. A_Visiblity_SeenBeforeArrivalAndAfterDeparture
B. Glass Door
1. B_Function_AlwaysOpensButNeverCloses
2. B_Direction_PointsForwardMovesBackward
3. B_Visiblity_SeenBeforeArrivalAndAfterDeparture
C. Labra Door
1. C_Function_AlwaysOpensButNeverCloses
2. C_Direction_PointsForwardMovesBackward
3. C_Visiblity_SeenBeforeArrivalAndAfterDeparture
D. Submarine Door
1. D_Function_AlwaysOpensButNeverCloses
2. D_Direction_PointsForwardMovesBackward
3. D_Visiblity_SeenBeforeArrivalAndAfterDeparture
Now, we have all the relationships in a structured way. Next, we'll solve the puzzle using this structure by determining which door is the one being described. Since it says "I am seen before arrival and after departure," we can eliminate options where the 'Visiblity' part doesn't match this description:
A. Exit Door - Not suitable (Arrival is not mentioned)
B. Glass Door - Not suitable (Arrival is not mentioned)
C. Labra Door - Suitable (Arrival and Departure are both mentioned)
D. Submarine Door - Not suitable (Arrival and Departure are both mentioned)
As we only have one door that matches the</t>
  </si>
  <si>
    <t>30z1</t>
  </si>
  <si>
    <t>You are given three keys labeled 5, 10, and 15. Only one key opens the lock. A note reads: â€œThe correct key is divisible by 5.â€ â€œThe correct key is not the smallest number.â€ â€œThe correct key is not the largest number.â€ Which key opens the lock?</t>
  </si>
  <si>
    <t xml:space="preserve"> The final answer is key 10. It is divisible by 5, larger than 5 but smaller than 15, making it the correct key for the situation described.</t>
  </si>
  <si>
    <t>30z2</t>
  </si>
  <si>
    <t xml:space="preserve"> The correct key opens the lock is 10, as it is divisible by 5 (10/5 = 2), is not the smallest number (5 &lt; 10), and not the largest number (10 &lt; 15).</t>
  </si>
  <si>
    <t>30z3</t>
  </si>
  <si>
    <t xml:space="preserve"> The final answer is key 10. It is divisible by 5, it is not the smallest (5), and not the largest number (15).</t>
  </si>
  <si>
    <t>30c1</t>
  </si>
  <si>
    <t xml:space="preserve"> To solve this puzzle, we'll analyze each statement and compare them to the possible values of the keys. Then, we'll find a key that fits all the given conditions.
Step 1: Compare the statements with the given keys
Statement 1: The correct key is divisible by 5.
5, 10, and 15 are all divisible by 5.
Step 2: Analyze Statement 2: "The correct key is not the smallest number."
The smallest number in this set is 5, but there's no guarantee that it can't be a solution.
Step 3: Consider Statement 3: "The correct key is not the largest number."
The largest number is 15.
Step 4: Combine the results from previous steps
Key 10 is not the smallest nor the largest number and is divisible by 5. Since it satisfies all the given conditions, it is highly likely to be the correct key that opens the lock. However, we don't have complete certainty as the problem statement doesn't say it's unique or the only key with these properties.
Final Answer: Key 10 is a likely candidate for opening the lock, but with the given information, there may be other possibilities too.</t>
  </si>
  <si>
    <t>30c2</t>
  </si>
  <si>
    <t xml:space="preserve"> Let's analyze each statement one by one to narrow down the possible options for the correct key.
1. "The correct key is divisible by 5." Since only the numbers 5, 10, and 15 are available, we can quickly verify which of these numbers is divisible by 5. Both 5 and 10 are divisible by 5 (remaining as 0 when divided), while 15 has a remainder of 0 when divided by 3, but not when divided by 5 (remainder is 5). So, we have narrowed it down to either 5 or 10.
2. "The correct key is not the smallest number." We know that 5 and 10 are the two remaining possibilities. Comparing them, 5 is smaller than 10. Thus, we eliminate 5 from our list and consider only 10 as a potential option.
3. "The correct key is not the largest number." Now, between 10 and the other given keys (not available in this case), 10 is the larger number. So, it also fulfills this condition.
By analyzing these statements one by one, we have eliminated 5 due to its size and removed 15 since it was never considered as a valid choice based on the first statement. The last remaining possibility is 10, which fulfills all conditions mentioned in the notes.
Final answer: The key that opens the lock is 10.</t>
  </si>
  <si>
    <t>30c3</t>
  </si>
  <si>
    <t xml:space="preserve"> To find the correct key step-by-step, let's analyze the information provided:
1. The correct key is divisible by 5: This implies that the key must be a multiple of 5, meaning it can be represented as n = 5k where k is an integer. In this case, the number of divisors should be a multiple of 5 (divisor, not including the number itself) for it to satisfy the condition.
2. The correct key is not the smallest number: Since we have keys labeled 5, 10, and 15, none of them are the smallest number, which is 5.
3. The correct key is not the largest number: This excludes 15, as it is the highest-valued key.
Now let's analyze each key individually based on the given conditions:
Key 5: It is both the smallest number and the smallest common multiple divisible by 5. Since we have established that it cannot be the correct key, we can remove it from the list.
Key 10: This number does not divide evenly by 5, making it unfit according to the first condition. Additionally, it is not the smallest or the largest, which also eliminates it from contention.
Key 15: Similar to Key 10, it is not divisible by 5, so it doesn't satisfy the first condition. However, it is not the smallest or the largest, which means it could potentially be the correct key.
Final Answer: Based on the analysis, the key most likely to open the lock is Key 15 since it is the only key that is not the smallest, not the largest, and can be represented as a multiple of 5 (15 = 3 * 5). Although the puzzle mentions there could be multiple solutions, this key satisfies all given conditions and seems the most logical choice under these specific circumstances.</t>
  </si>
  <si>
    <t>30d1</t>
  </si>
  <si>
    <t xml:space="preserve"> Step 1: Key clues - Keys labeled 5, 10, and 15. One key opens the lock. The correct key is divisible by 5. The correct key is not the smallest number. The correct key is not the largest number.
Step 2: Interpretation of clues:
- Divisible by 5 means at least one of the numbers needs to be a multiple of 5 (5, 10, or 15).
- Not the smallest number means it cannot be 5.
- Not the largest number means it cannot be 15.
Step 3: Combining clues - Since 5, 10, and 15 can be divided by 5, we have to find which one is not the smallest number or not the largest number. Since 15 is the largest, and 5 is the smallest, 10 must be the middle number between the two extremes and is neither the smallest nor the largest.
FINAL_ANSWER: &lt;Answer&gt; The key that opens the lock is labeled 10.</t>
  </si>
  <si>
    <t>30d2</t>
  </si>
  <si>
    <t xml:space="preserve"> Step 1: Key clues - We have three keys (5, 10, 15) and need to find the one that opens the lock. The note provides information about the key: "The correct key is divisible by 5," "The correct key is not the smallest number," "The correct key is not the largest number."
Step 2: Interpretation - The first statement implies there is a multiple of 5 among the keys that opens the door. The second and third statements clarify that the correct key should be somewhere in between the smallest and largest numbers.
Step 3: Combining clues - Since the correct key is a multiple of 5, we need to analyze the options: 5 * 1 = 5, 5 * 2 = 10, and 5 * 3 = 15. Comparing these to the conditions provided, only 10 is not the smallest number and also not the largest. Therefore, key 10, being the middle value, aligns with both requirements mentioned in the clues.
FINAL_ANSWER: &lt;Answer&gt; Key 10 opens the lock.</t>
  </si>
  <si>
    <t>30d3</t>
  </si>
  <si>
    <t xml:space="preserve"> Step 1: Key clues in the puzzle - Key labels (5, 10, 15), "The correct key is divisible by 5", "The correct key is not the smallest number", "The correct key is not the largest number".
Step 2: Interpreting the clues - Key labels show possible options. The first clue helps us eliminate options that aren't divisible by 5. The second clue eliminates 5 since it's the smallest number. The third clue eliminates 15, which is the largest number.
Step 3: Combining the clues - We can now focus only on keys 10 (since it is divisible by 5) and 5. However, we know 5 isn't the correct key because it's the smallest number. Therefore, the correct key must be 10.
FINAL_ANSWER: &lt;Answer&gt; Key 10 opens the lock.</t>
  </si>
  <si>
    <t>30v1</t>
  </si>
  <si>
    <t xml:space="preserve"> Let's analyze the clues step by step.
1. The correct key is divisible by 5.
2. The correct key is not the smallest number.
3. The correct key is not the largest number.
We know the numbers must be in a range between 5, 10, and 15. Let's go through them:
5: Not divisible by 5, is the smallest, and not the largest (only thing that fits).
10: Divisible by 5, not the smallest, and not the largest.
15: Divisible by 5, not the smallest, and not the largest (other than 10).
Since 10 and 15 both fit every condition, we should try to eliminate one of them. Both these numbers are evenly divisible by 5. However, they have different parity - 10 is an even number, while 15 is odd. Since the smallest even number divisible by 5 is 10, it can be deduced that 10 is the correct key.
FINAL_ANSWER: 10</t>
  </si>
  <si>
    <t>30v2</t>
  </si>
  <si>
    <t xml:space="preserve"> FINAL_ANSWER: 10
Reasoning: We need to find a number that is divisible by 5, is not the smallest (i.e., not 5), and is not the largest (not 15). The only choice left is 10, which is divisible by 5, larger than 5, and smaller than 15. Therefore, 10 is the key that opens the lock.</t>
  </si>
  <si>
    <t>30v3</t>
  </si>
  <si>
    <t xml:space="preserve"> Let's analyze the clues step by step:
1. The correct key is divisible by 5. This means that the key can be divided without a remainder by 5.
2. The correct key is not the smallest number. This means it can't be 1 or 5 since they are the only numbers smaller than the given keys.
3. The correct key is not the largest number. This means it can't be 10 or 15 since these are the only numbers larger than the given keys.
Now let's apply these conditions to the given keys. We have 5, 10, and 15. None of them are divisible by 5, nor are they the smallest or largest number. So none of the given keys satisfy all the clues. We need to consider a new key that follows these rules.
Let's test a possible key (25) and check if it works for all clues:
- Divisible by 5: 25 % 5 = 0, so it is indeed divisible by 5.
- Not the smallest number: 1, 5, 10, 15 are smaller numbers but not the given key.
- Not the largest number: 10 and 15 are larger numbers but not the given key.
So, the new key (25) satisfies all the clues given in the puzzle.
FINAL_ANSWER: 25</t>
  </si>
  <si>
    <t>30e1</t>
  </si>
  <si>
    <t xml:space="preserve"> Clue 1: Only one key opens the lock.
Clue 2: The correct key is divisible by 5.
Clue 3: The correct key is not the smallest number.
Clue 4: The correct key is not the largest number.
Reasoning: We are looking for a key from the three given (5, 10, and 15). The first clue tells us that only one of the keys will work. The second clue gives us additional information about the key - it must be divisible by 5. The third clue states that this key is not the smallest number and the fourth says it's not the largest number. This implies we need to find a middle ground key.
Let's look at each key's properties:
- 5 is divisible by 5, which fits the second clue. However, it's the smallest key and contradicts the third and fourth clues.
- 10 is also divisible by 5. It's not the smallest key (5 is smaller) nor the largest (15 is larger).
- 15 is not divisible by 5 and doesn't fit the second clue. It's not the smallest key (10 is smaller) or the largest (10 is larger), but these properties don't contradict the second requirement as long as a different key meets it.
Since 5 doesn't fulfill all conditions while 10 does, we can assume that the correct key is 10, opening the lock.
FINAL_ANSWER: 10</t>
  </si>
  <si>
    <t>30e2</t>
  </si>
  <si>
    <t xml:space="preserve"> Clue 1: The correct key is divisible by 5.
Clue 2: The correct key is not the smallest number.
Clue 3: The correct key is not the largest number.
Possible keys: 5, 10, and 15.
Step 1: Eliminate keys that don't work with at least two clues. 
- 5 is not the smallest number (2,3,4,...) and it is not the largest number (6,7,8...).
- 10 is not the smallest number (2,3,4,...,5,6,7,8,9) and it is not the largest number (11,12,13,14,15).
- 15 is not the smallest number (2,3,4,5,6,7,8,9,10,11,12,13,14) and it is not the largest number (16,17,18,19,20...).
Step 2: Choose the remaining key. Since none of the three keys fulfill all the conditions, we need to determine which one is closest to satisfying them. 
- 10 has a better chance since it is divisible by 5 and slightly larger than 5.
FINAL_ANSWER: Key 10 likely opens the lock.</t>
  </si>
  <si>
    <t>30e3</t>
  </si>
  <si>
    <t xml:space="preserve"> Clue 1: The correct key is divisible by 5.
Clue 2: The correct key is not the smallest number.
Clue 3: The correct key is not the largest number.
To analyze, we can consider all the possible options. We have three keys (5, 10, and 15) which are all divisible by 5 (since they are multiples of 5).
Now let's evaluate the size of each key.
1. Key 5 is the smallest number among the keys, so it might not be the correct key due to clue 2.
2. Key 10 is between the other two keys in terms of size. It could possibly be the correct key since it fulfills the criteria mentioned in the notes.
3. Key 15 is larger than key 10 but still smaller than the next multiple of 5 (which would be 20). This means it is the next possible option to be the correct key after considering clues 2 and 3.
FINAL_ANSWER: Key 10 or Key 15 may open the lock since both fulfill the given conditions, but without further information, we cannot determine the exact correct key.</t>
  </si>
  <si>
    <t>30g1</t>
  </si>
  <si>
    <t xml:space="preserve"> Clue 1: The correct key is divisible by 5.
This means that the multiple of 5 needs to be considered for choosing the correct key among the given options (5, 10, and 15).
Clue 2: The correct key is not the smallest number.
This eliminates the possibility of the smallest key (5) being the correct key.
Clue 3: The correct key is not the largest number.
This eliminates the possibility of the largest key (15) being the correct key.
Now, we can analyze the remaining numbers. Since only 10 is left and it's a multiple of 5, it satisfies all the given criteria.
FINAL_ANSWER: &lt;Answer&gt; 10</t>
  </si>
  <si>
    <t>30g2</t>
  </si>
  <si>
    <t xml:space="preserve"> Clue 1 - The correct key is divisible by 5.
Clue 2 - The correct key is not the smallest number.
Clue 3 - The correct key is not the largest number.
Analyzing the possible answers:
- Key 5 is divisible by 5 (itself), but it's the smallest number and can also be considered as the largest in the set.
- Key 10 is not divisible by 5 (except for 2*5). It's not the smallest or largest number, as it's between 5 and 15.
- Key 15 is not divisible by 5 either. It's not the smallest, but it's the second-largest number after 15.
FINAL_ANSWER: &lt;Answer&gt; One of the keys doesn't meet all criteria. None of these keys are the correct one to open the lock.</t>
  </si>
  <si>
    <t>30g3</t>
  </si>
  <si>
    <t xml:space="preserve"> Step 1: Clue list - "You are given three keys labeled 5, 10, and 15. Only one key opens the lock. A note reads: â€˜The correct key is divisible by 5.â€™ â€˜The correct key is not the smallest number.â€™ â€˜The correct key is not the largest number.â€™ "
Step 2: Interpret each clue:
1. There are three keys and only one of them will unlock the door.
2. The 'correct' key must be divisible by 5.
3. The correct key cannot be the smallest (5) among the given options.
4. The correct key also cannot be the largest (15) among the given options.
Step 3: Solve the puzzle: Among the three keys (5, 10, and 15), only key 10 is both divisible by 5 and not the smallest or largest numbers. Therefore, FINAL_ANSWER: &lt;Answer&gt; 10</t>
  </si>
  <si>
    <t>30s1</t>
  </si>
  <si>
    <t xml:space="preserve"> Relationships:
- Key_Property_1 (Key_1_is_divisible_by_5) -&gt; Key_1 = 5
- Key_Property_2 (Key_not_the_smallest_number) -&gt; Key_1 != 1
- Key_Property_3 (Key_not_the_largest_number) -&gt; Key_1 != 15
Solving:
- We have 5 keys, but only 1 will open the lock.
- According to the first note, the correct key is divisible by 5.
- The second note states that it's not the smallest number, so we eliminate 1 as a potential key.
- The third note implies that it's also not the largest number, so we can eliminate 15 as well.
- After eliminating the options, there's only one key left, which is 5.
FINAL_ANSWER: &lt;Answer&gt; = 5</t>
  </si>
  <si>
    <t>30s2</t>
  </si>
  <si>
    <t xml:space="preserve"> Firstly, we will define the relationships within the statements that need to be translated into a structured format. Let's name the relationship "property" for simplicity. We can represent the properties as follows:
1. Correct key is divisible by 5 (property1)
2. Correct key is not the smallest number (property2)
3. Correct key is not the largest number (property3)
4. Key 5 has property1, property2, property3
5. Key 10 has property1, property3
6. Key 15 has property1, property2
Now, we need to find the key that has all the properties mentioned in the statements.
1. Filter out the properties that conflict. In this case, Key 5 does not satisfy property2 and 3 since it is the smallest number. Key 10 does not satisfy property2 as it is divisible by 2 but not by 5. Key 15 does not have property1 since it is not divisible by 5.
2. Now, there is only Key 10 that has properties 1 and 3.
FINAL_ANSWER: &lt;Key 10&gt;</t>
  </si>
  <si>
    <t>30s3</t>
  </si>
  <si>
    <t xml:space="preserve"> To translate the given relationships in a structured way, we can represent them like so:
1. The correct key is divisible by 5: Correct_key &amp; Divisible_by_5
2. The correct key is not the smallest number: Correct_key &amp; Not_Smallest_number
3. The correct key is not the largest number: Correct_key &amp; Not_Largest_number
Now, these translated relationships can be used to analyze and find the answer step-by-step. First, let's eliminate the impossible options. We know that a possible key must have properties mentioned in each statement, i.e., it should be divisible by 5 but not be the smallest or the largest number. We can now compare the given keys (5, 10, 15) with the constraints in each statement:
1. Key 5 is only divisible by 1 and 5. It's not divisible by 5, making it an invalid choice.
2. Key 10 is also divisible by 1 and 2, 5, 10. It's not the smallest number since it's not 1.
3. Key 15 is divisible by 1, 3, 5, 15. It's not the largest number since it's not 20.
Now let's analyze the remaining option: Key 10. It's divisible by 5 as mentioned in the first statement, not the smallest number per the second statement, and not the largest number according to the third statement. Therefore, Key 10 seems to fulfill all conditions mentioned in the puzzle.
FINAL_ANSWER: &lt;Answer&gt; = Key 10</t>
  </si>
  <si>
    <t>Ground Truth</t>
  </si>
  <si>
    <t>Green Doll</t>
  </si>
  <si>
    <t>Door 1</t>
  </si>
  <si>
    <t>Switch C</t>
  </si>
  <si>
    <t>Under the Tea cup</t>
  </si>
  <si>
    <t>Brown Box</t>
  </si>
  <si>
    <t>Door A</t>
  </si>
  <si>
    <t>The green lamp</t>
  </si>
  <si>
    <t>Safe 9</t>
  </si>
  <si>
    <t>Alex, Bella, Chris, Dana</t>
  </si>
  <si>
    <t>Large, Medium, Small</t>
  </si>
  <si>
    <t>The borrom shelf</t>
  </si>
  <si>
    <t>The west wall</t>
  </si>
  <si>
    <t>The door</t>
  </si>
  <si>
    <t>The green box</t>
  </si>
  <si>
    <t>Find key, Unlock door, Read note, Press button</t>
  </si>
  <si>
    <t>A,C,B</t>
  </si>
  <si>
    <t>Red, Green, Blue, Yellow</t>
  </si>
  <si>
    <t>Anna, Cara, Drew, Ben</t>
  </si>
  <si>
    <t>Bronze Chest</t>
  </si>
  <si>
    <t>Ava</t>
  </si>
  <si>
    <t>South</t>
  </si>
  <si>
    <t>Red</t>
  </si>
  <si>
    <t>Switch 1</t>
  </si>
  <si>
    <t>C, A, B</t>
  </si>
  <si>
    <t>Green house</t>
  </si>
  <si>
    <t>Statue 2</t>
  </si>
  <si>
    <t>A. Exit Door</t>
  </si>
  <si>
    <t>Three books  A, B, and C  are stacked on a shelf. Clues: Book A is not on the top. Book C is not on the bottom. Book B is not directly next to C. What is the order from top to bottom?</t>
  </si>
  <si>
    <t>You have to complete four tasks: Find Key, Press Button, Unlock Door, and Read Note. Clues:You must find the key before you can unlock the door.You must unlock the door before you can read the note.You must read the note before you press the button.You cannot skip any step.What is the correct order of tasks?</t>
  </si>
  <si>
    <t xml:space="preserve"> The correct order of tasks is: Find Key, Press Button, Unlock Door, and Read Note.</t>
  </si>
  <si>
    <t xml:space="preserve"> First, let's analyze the given clues in a logical order. The clues provide us with a sequence of tasks that depend on each other. 
1. "Find Key" - This task needs to be completed first because it's necessary for the following task which requires a specific 'Key'. 
2. "Press Button" - This task comes after reading the note because the next task depends on understanding the context provided in the note. 
3. "Read Note" - We need to do this after unlocking the door because the door could potentially be locked to prevent us from accessing the note without completing the previous steps. 
4. "Unlock Door" - This task comes after finding the key since the key is needed to unlock the door. 
Taking these relations into account, we can now form the correct order of tasks: Find Key, Unlock Door, Read Note, and Press Button. The reasoning behind this order is that each task is dependent on the one before it to be completed properly. If any step is skipped or done out of order, the subsequent tasks may not be possible to finish. So, the final answer is: Find Key, Unlock Door, Read Note, Press Button.</t>
  </si>
  <si>
    <t xml:space="preserve"> In order to solve this puzzle step-by-step, we need to analyze the given clues and understand the dependencies between each task. There are four tasks: Find Key, Press Button, Unlock Door, and Read Note. The clues provide information on which task should be completed first and what is needed to move onto the next task.
1. First, let's identify the dependencies. We need to find the key before we can unlock the door. This implies that the tasks need to be completed in sequence - Find Key (Task 1), Unlock Door (Task 3).
2. Next, consider the connection between Tasks 1 and 3 with Task 4 (Read Note). It says we must read the note before pressing the button. Since pressing the button comes later, we can assume it's also a necessary step to be taken after Task 4. So, the order becomes Find Key (Task 1), Unlock Door (Task 3), Read Note (Task 4), and Press Button (Task 5).
3. Now let's focus on the connection between Tasks 3 and 4 with Task 5 (Press Button). There isn't any clear dependency mentioned for this part. However, as the last task indicated needing to read the note first, it seems logical to complete the other tasks beforehand.
Considering these dependencies and the logical connections, the final answer for the correct order of tasks is: Find Key (Task 1), Unlock Door (Task 3), Read Note (Task 4), and Press Button (Task 5). This order allows for progression through the steps based on the provided clues and ensures that all tasks are completed in their required sequence without skipping any.</t>
  </si>
  <si>
    <t xml:space="preserve"> To determine the correct order of tasks, we should analyze the relationships between them. These relationships can be derived from the given clues:
1. "Find Key" has to happen before "Unlock Door." This is because the key is necessary to unlock the door.
2. "Press Button" needs to occur after "Read Note." We must understand what the note says in order to know when or how to press the button.
3. "Unlock Door" comes before "Read Note." Unlocking the door allows us access to the area where the note is located.
4. "Read Note" should take place prior to "Find Key" since the location of the key might be mentioned in the note.
Now let's arrange these tasks in a logical order based on these relationships:
1. Find Key
2. Read Note
3. Unlock Door
4. Press Button
The correct order of tasks, as justified by reasoning and considering the clues provided, is: Find Key, Read Note, Unlock Door, Press Button, and finally, Find Key (since we need to locate the hidden key again).</t>
  </si>
  <si>
    <t xml:space="preserve"> Step 1: Key clues - Find Key, Press Button, Unlock Door, and Read Note; You must find the key before you can unlock the door; You must unlock the door before you can read the note; You must read the note before you press the button; You cannot skip any step.
Step 2: Interpret the meaning - Find Key is a necessary task to proceed with Unlock Door, pressing Button, and Reading Note. The same applies to other tasks.
Step 3: Combining the clues to reach a conclusion - Considering the relationships between tasks, the sequence should start from Find Key, then Press Button, Unlock Door, and finally Read Note. This order satisfies all conditions mentioned in the clues, and no task is skipped.
FINAL_ANSWER: &lt;The correct order of tasks is Find Key, Press Button, Unlock Door, and Read Note.&gt;</t>
  </si>
  <si>
    <t xml:space="preserve"> Step 1: Identify all key clues in the puzzle:
- Four tasks: Find Key, Press Button, Unlock Door, and Read Note
- You must find the key before you can unlock the door
- You must unlock the door before you can read the note
- You must read the note before you press the button
- You cannot skip any step
Step 2: Interpret what each clue implies:
- In order to complete one task, a preceding task needs to be fulfilled first.
- The order of tasks mentioned in the problem statement is not necessarily the right order.
- Tasks are interconnected and each task has dependencies on previous ones.
- The task "Press Button" seems to have no implication mentioned explicitly or by the dependencies.
Step 3: Combine the clues to reach a conclusion:
Considering that we have dependencies between tasks and the restriction of not skipping any, it will be crucial to follow the correct order. Using the dependencies provided, the order of tasks should be:
1. Find Key (as needed for Unlock Door)
2. Unlock Door (needed for Read Note)
3. Read Note (needed for Press Button)
4. Press Button (but it's not mentioned in any dependency)
Finally, considering the dependencies mentioned and the need to not skip steps, the correct order would be: FINAL_ANSWER: Find Key, Unlock Door, Read Note, Press Button.</t>
  </si>
  <si>
    <t xml:space="preserve"> Step 1: Identifying key clues - There are 4 main tasks with their order being specified. The steps involving finding Key, pressing Button, unlocking Door, and reading Note have clear dependencies between them.
Step 2: Interpreting implications - "Find Key" has to be done first as it's needed for the next task. "Press Button" happens only after reading a note. "Unlock Door" requires both "Find Key" and "Press Button." "Read Note" is dependent on finding a key and unlocking a door.
Step 3: Combining the clues - The complete sequence should be "Find Key," "Press Button," "Unlock Door," and finally, "Read Note." This is the correct order of tasks ensuring all are completed without skipping any steps. FINAL_ANSWER: &lt;Answer&gt; The correct order of tasks is "Find Key," "Press Button," "Unlock Door," and "Read Note."</t>
  </si>
  <si>
    <t xml:space="preserve"> Let's analyze the steps and relationships between them.
1. Find Key
2. Press Button
3. Unlock Door
4. Read Note
We can see the logical order of the steps is as follows:
1. Find Key -&gt; Dependency 1 (must find the key before you can unlock the door) -&gt; 3. Unlock Door
2. Unlock Door -&gt; Dependency 2 (must unlock the door before you can read the note) -&gt; 4. Read Note
3. Read Note -&gt; Dependency 3 (must read the note before you press the button) -&gt; 2. Press Button
Now we have a complete loop without any missing links or skips. The final and corrected order of tasks is:
FINAL_ANSWER: &lt;Find Key, Press Button, Unlock Door, Read Note&gt;</t>
  </si>
  <si>
    <t xml:space="preserve"> Given the problem, the correct order should satisfy all given conditions and ensure that no task is skipped. Here's the sequence that follows these rules:
1. Find Key
2. Press Button
3. Unlock Door
4. Read Note
FINAL_ANSWER: &lt;Answer&gt; FIND_KEY, PRESS_BUTTON, UNLOCK_DOOR, READ_NOTE</t>
  </si>
  <si>
    <t xml:space="preserve"> Final Answer: FIND_KEY, PRESS_BUTTON, UNLOCK_DOOR, READ_NOTE. Checking whether it satisfies all clues:
1. It says you must find the key before unlocking the door, so we do that first.
2. The next task is pressing the button after reading the note, but we have not yet read the note, so we can't do that now. We will do it later.
3. Unlocking the door comes before reading the note, and we found the key already in the previous step. Now, we can unlock the door.
4. Finally, after unlocking the door, we can read the note, completing the final task.
FINAL_ANSWER: FIND_KEY, PRESS_BUTTON, UNLOCK_DOOR, READ_NOTE. All clues are satisfied.</t>
  </si>
  <si>
    <t xml:space="preserve"> Clue 1: Find Key
Clue 2: Press Button
Clue 3: Unlock Door
Clue 4: Read Note
Clue 5: You must find the key before you can unlock the door
Clue 6: You must unlock the door before you can read the note
Clue 7: You must read the note before you press the button
Clue 8: You cannot skip any step
FINAL_ANSWER: Finding Key, Pressing Button, Unlocking Door, Reading Note</t>
  </si>
  <si>
    <t xml:space="preserve"> Clue 1: Find Key before Unlock Door
Clue 2: Unlock Door before Read Note
Clue 3: Read Note before Press Button
Clue 4: Cannot Skip Steps
To find the correct order of tasks, we can't arrange them in any random order because the clues mention the interdependency among these tasks. We need to consider the dependencies for every task and accordingly arrange them.
Task 1: Find Key
The clue states that the key is needed for unlocking the door, so it comes after finding the key. So this task must be placed before Task 2 (Unlock Door).
Task 2: Press Button
The clue says that reading the note should come before pressing the button. This means that pressing the button should happen after reading the note.
Task 3: Unlock Door
It needs the key to unlock the door according to Clue 1, so it's placed just after Task 1. Since it also mentions that the door must be unlocked before reading the note in Clue 2, this task has to be between Task 1 and Task 4.
Task 4: Read Note
Reading the note comes before both tasks - pressing the button and finding the key (according to Clue 3) and it also needs the door to be unlocked first as mentioned in Clue 2.
Considering all these relations and dependencies, we can arrange the tasks in the following order: Find Key, Unlock Door, Press Button, and Read Note. The final answer is: FINAL_ANSWER: &lt;Find Key, Unlock Door, Press Button, Read Note&gt;</t>
  </si>
  <si>
    <t xml:space="preserve"> The clues provided state the dependencies between different tasks. Here's a list of the clues for reference:
1. Find Key
2. Press Button
3. Unlock Door
4. Read Note
The dependencies mentioned in the clues are:
1. Key -&gt; Door (Find Key -&gt; Unlock Door)
2. Door -&gt; Note (Unlock Door -&gt; Read Note)
3. Note -&gt; Button (Read Note -&gt; Press Button)
4. No skipping is allowed, so all tasks need to be done in this specific order.
Considering these dependencies, we need to combine them and find the final order. We know Key -&gt; Door, Door -&gt; Note, Note -&gt; Button, but there's no direct connection between Key and Button or Door and Button.
To make the best sense out of it while maintaining the dependency order, we can create two sets of tasks - one set containing Key, Door, and Note, and another set containing Button. We can then establish that the first set has to be completed before starting the second set.
FINAL_ANSWER: &lt;Answer&gt; The correct order of tasks is to Find Key, Unlock Door, Read Note, and finally Press Button.</t>
  </si>
  <si>
    <t xml:space="preserve"> 
1. Find Key
2. Press Button
3. Unlock Door
4. Read Note
5. FINAL_ANSWER: &lt;Answer&gt; (This is an extra part not part of the original puzzle)</t>
  </si>
  <si>
    <t xml:space="preserve"> The correct order of tasks is as follows:
1. Find Key
2. Press Button
3. Unlock Door
4. Read Note
5. FINAL_ANSWER: &lt;Answer&gt;
The key logic comes from understanding how the clues are connected. Tasks 1, 2, 3, and 4 all have dependencies with one another; it's a chain where each task needs to be completed before the next in the sequence. To ensure this, tasks need to be performed in an order that satisfies the requirements outlined in the clues, while also meeting the 'cannot skip any step' condition mentioned. The tasks need to be done in the given order and no steps can be skipped or rearranged. Hence, these specific tasks have to be the first four tasks in order given - Find Key, Press Button, Unlock Door, and Read Note. These form the pre-requisites. The final task, FINAL_ANSWER, is given at the end. This is the time where you place your answer for &lt;Answer&gt;, which likely relates back to the information you got from reading the note. Since &lt;Answer&gt; is an open field for any possible outcome, it is left blank for the user to fill in their own response. This order completes the tasks required and maintains the flow as detailed in the clues provided. It ensures all conditions are met and guarantees you'll never miss a step in resolving this puzzle.</t>
  </si>
  <si>
    <t xml:space="preserve"> Clue Analysis:
1. "You must find the key before you can unlock the door." - This implies there are two keys involved in this process. The first key (Key) will be found and then it's usage will come later in the process of unlocking the door (Unlock Door).
2. "You must unlock the door before you can read the note." - This highlights that we are to unlock a door, presumably after having obtained the necessary key from task 1. Once the door is unlocked, it's time to do the 'Read Note'.
3. "You must read the note before you press the button." - Here, we need to read the contents of a note before moving on to the next action which is pressing a button.
4. "You cannot skip any step." - This rule informs us that the sequence must follow in the order specified by the previous clues without leaving out any steps.
Final Solution: Since the given clues outline a specific order, the correct order of tasks is - Find Key, Unlock Door, Read Note, and Press Button. FINAL_ANSWER: &lt;Answer&gt;</t>
  </si>
  <si>
    <t xml:space="preserve"> Tasks: Find Key, Press Button, Unlock Door, Read Note
Relationships (order in which tasks must be completed):
1. Find Key -&gt; Must come before -&gt; Unlock Door
2. Unlock Door -&gt; Must come before -&gt; Read Note
3. Read Note -&gt; Must come before -&gt; Press Button
Final Order of Tasks:
1. Find Key
2. Unlock Door
3. Read Note
4. Press Button
FINAL_ANSWER: &lt;Find Key, Unlock Door, Read Note, Press Button&gt;</t>
  </si>
  <si>
    <t xml:space="preserve"> First, we'll translate the clues into structured relationships:
1. Find Key -&gt; Must Come Before -&gt; Unlock Door
2. Unlock Door -&gt; Must Come Before -&gt; Read Note
3. Read Note -&gt; Must Come Before -&gt; Press Button
4. No skipping steps
Now, let's find a solution using these relationships:
Since we cannot skip any step, it means that the required order should be a single chain leading from "Find Key" to "Press Button". To make sure each step follows the dependencies, we need to ensure that the next task in the sequence comes after the previous task's dependency.
1. Find Key -&gt; (Must Come Before) Unlock Door -&gt; (Must Come Before) Read Note -&gt; (Must Come Before) Press Button
The final relationship structure is formed as:
1. Must_Come_Before(Find Key, Unlock Door), Must_Come_Before(Unlock Door, Read Note), Must_Come_Before(Read Note, Press Button)
Now that the relationships are structured, we simply need to follow the predefined path from "Find Key" to "Press Button", which will ensure all necessary steps are taken without missing anything. The solution in the given format would be: FINAL_ANSWER: &lt;Find Key, Unlock Door, Read Note, Press Button&gt;</t>
  </si>
  <si>
    <t xml:space="preserve"> First, we'll identify the tasks and their relationships.
1. Tasks and their states:
   - Find Key (uncompleted)
   - Press Button (uncompleted)
   - Unlock Door (uncompleted)
   - Read Note (uncompleted)
2. Relationships between tasks:
   - To complete "Find Key" -&gt; Must happen before "Unlock Door" (FK&lt;UD)
   - To complete "Unlock Door" -&gt; Must happen before "Read Note" (UD&lt;RN)
   - To complete "Read Note" -&gt; Must happen before "Press Button" (RN&lt;PB)
3. Solving the puzzle using the translated relationships:
   - Since the problem doesn't allow skipping steps, we should start by finding the key (FK).
   - After finding the key, we proceed with unlocking the door (UD).
   - Now, we can read the note (RN).
   - With the note read, we press the button (PB) to finish the process.
4. Final answer: FINAL_ANSWER: &lt;FK, FK&lt;UD, UD, UD&lt;RN, RN, RN&lt;PB, PB&gt;
   - In this list, the first element is always the incomplete task, followed by the relationship that needs to be met to proceed, and so on. This structure represents the necessary steps to complete all tasks.</t>
  </si>
  <si>
    <t>ff</t>
  </si>
  <si>
    <t>e</t>
  </si>
  <si>
    <t>cz</t>
  </si>
  <si>
    <t>cc</t>
  </si>
  <si>
    <t>cd</t>
  </si>
  <si>
    <t>cv</t>
  </si>
  <si>
    <t>ce</t>
  </si>
  <si>
    <t>cg</t>
  </si>
  <si>
    <t>cs</t>
  </si>
  <si>
    <t xml:space="preserve"> </t>
  </si>
  <si>
    <t>iz</t>
  </si>
  <si>
    <t>ic</t>
  </si>
  <si>
    <t>id</t>
  </si>
  <si>
    <t>iv</t>
  </si>
  <si>
    <t>ie</t>
  </si>
  <si>
    <t>ig</t>
  </si>
  <si>
    <t>is</t>
  </si>
  <si>
    <t>tz</t>
  </si>
  <si>
    <t>tc</t>
  </si>
  <si>
    <t>td</t>
  </si>
  <si>
    <t>tv</t>
  </si>
  <si>
    <t>te</t>
  </si>
  <si>
    <t>tg</t>
  </si>
  <si>
    <t>ts</t>
  </si>
  <si>
    <t>Difficulty</t>
  </si>
  <si>
    <t>Puzzle Type</t>
  </si>
  <si>
    <t>v</t>
  </si>
  <si>
    <t>d</t>
  </si>
  <si>
    <t>r</t>
  </si>
  <si>
    <t>s</t>
  </si>
  <si>
    <t>p</t>
  </si>
  <si>
    <t>m</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</si>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</sst>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8"/>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quotePrefix="1"/>
    <xf numFmtId="0" fontId="16" fillId="0" borderId="0" xfId="0" applyFont="1" applyAlignment="1">
      <alignment horizontal="center" vertical="center"/>
    </xf>
    <xf numFmtId="0" fontId="0" fillId="0" borderId="10" xfId="0" applyBorder="1"/>
    <xf numFmtId="0" fontId="16" fillId="0" borderId="10" xfId="0" applyFont="1" applyBorder="1" applyAlignment="1">
      <alignment horizontal="center" vertical="center"/>
    </xf>
    <xf numFmtId="0" fontId="0" fillId="0" borderId="11" xfId="0" applyBorder="1"/>
    <xf numFmtId="0" fontId="16" fillId="0" borderId="11" xfId="0" applyFont="1" applyBorder="1" applyAlignment="1">
      <alignment horizontal="center" vertical="center"/>
    </xf>
    <xf numFmtId="164" fontId="16" fillId="0" borderId="0" xfId="42" applyNumberFormat="1" applyFont="1" applyAlignment="1">
      <alignment horizontal="center" vertical="center"/>
    </xf>
    <xf numFmtId="0" fontId="0" fillId="0" borderId="12"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ont>
        <color theme="2"/>
      </font>
      <fill>
        <patternFill>
          <bgColor rgb="FFFF0000"/>
        </patternFill>
      </fill>
    </dxf>
    <dxf>
      <font>
        <color theme="1"/>
      </font>
      <fill>
        <patternFill>
          <bgColor theme="9"/>
        </patternFill>
      </fill>
    </dxf>
    <dxf>
      <font>
        <color theme="2"/>
      </font>
      <fill>
        <patternFill>
          <bgColor rgb="FFFF0000"/>
        </patternFill>
      </fill>
    </dxf>
    <dxf>
      <font>
        <color theme="1"/>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AB41-24B1-4066-9345-022516F5BEE2}">
  <dimension ref="A1:AH646"/>
  <sheetViews>
    <sheetView tabSelected="1" zoomScaleNormal="100" workbookViewId="0">
      <pane ySplit="1" topLeftCell="A95" activePane="bottomLeft" state="frozen"/>
      <selection pane="bottomLeft" activeCell="D107" sqref="D107"/>
    </sheetView>
  </sheetViews>
  <sheetFormatPr defaultRowHeight="15" x14ac:dyDescent="0.25"/>
  <cols>
    <col min="1" max="1" width="4.140625" bestFit="1" customWidth="1"/>
    <col min="2" max="3" width="4.140625" customWidth="1"/>
    <col min="4" max="4" width="26.85546875" customWidth="1"/>
    <col min="5" max="5" width="5.85546875" customWidth="1"/>
    <col min="6" max="6" width="96.5703125" customWidth="1"/>
    <col min="7" max="7" width="20.5703125" style="2" customWidth="1"/>
    <col min="10" max="10" width="15.42578125" customWidth="1"/>
    <col min="12" max="18" width="9" customWidth="1"/>
    <col min="28" max="34" width="4.42578125" customWidth="1"/>
  </cols>
  <sheetData>
    <row r="1" spans="1:34" x14ac:dyDescent="0.25">
      <c r="A1" t="s">
        <v>0</v>
      </c>
      <c r="B1" t="s">
        <v>1342</v>
      </c>
      <c r="C1" t="s">
        <v>1343</v>
      </c>
      <c r="D1" t="s">
        <v>1</v>
      </c>
      <c r="E1" t="s">
        <v>2</v>
      </c>
      <c r="F1" t="s">
        <v>3</v>
      </c>
      <c r="G1" s="2" t="s">
        <v>4</v>
      </c>
      <c r="H1" t="s">
        <v>5</v>
      </c>
      <c r="I1" t="s">
        <v>6</v>
      </c>
      <c r="J1" t="s">
        <v>1269</v>
      </c>
      <c r="K1" t="s">
        <v>1327</v>
      </c>
      <c r="L1" t="s">
        <v>1320</v>
      </c>
      <c r="M1" t="s">
        <v>1321</v>
      </c>
      <c r="N1" t="s">
        <v>1322</v>
      </c>
      <c r="O1" t="s">
        <v>1323</v>
      </c>
      <c r="P1" t="s">
        <v>1324</v>
      </c>
      <c r="Q1" t="s">
        <v>1325</v>
      </c>
      <c r="R1" t="s">
        <v>1326</v>
      </c>
      <c r="T1" t="s">
        <v>1328</v>
      </c>
      <c r="U1" t="s">
        <v>1329</v>
      </c>
      <c r="V1" t="s">
        <v>1330</v>
      </c>
      <c r="W1" t="s">
        <v>1331</v>
      </c>
      <c r="X1" t="s">
        <v>1332</v>
      </c>
      <c r="Y1" t="s">
        <v>1333</v>
      </c>
      <c r="Z1" t="s">
        <v>1334</v>
      </c>
      <c r="AB1" t="s">
        <v>1335</v>
      </c>
      <c r="AC1" t="s">
        <v>1336</v>
      </c>
      <c r="AD1" t="s">
        <v>1337</v>
      </c>
      <c r="AE1" t="s">
        <v>1338</v>
      </c>
      <c r="AF1" t="s">
        <v>1339</v>
      </c>
      <c r="AG1" t="s">
        <v>1340</v>
      </c>
      <c r="AH1" t="s">
        <v>1341</v>
      </c>
    </row>
    <row r="2" spans="1:34" s="5" customFormat="1" x14ac:dyDescent="0.25">
      <c r="A2" s="5" t="s">
        <v>7</v>
      </c>
      <c r="B2" s="5" t="s">
        <v>1319</v>
      </c>
      <c r="C2" s="5" t="s">
        <v>1345</v>
      </c>
      <c r="D2" s="5" t="s">
        <v>8</v>
      </c>
      <c r="E2" s="5">
        <v>67</v>
      </c>
      <c r="F2" s="5" t="s">
        <v>9</v>
      </c>
      <c r="G2" s="6" t="s">
        <v>222</v>
      </c>
      <c r="H2" s="5">
        <v>12.031693000000001</v>
      </c>
      <c r="I2" s="5">
        <v>72</v>
      </c>
      <c r="J2" s="5" t="s">
        <v>1270</v>
      </c>
      <c r="K2" s="5" t="s">
        <v>1327</v>
      </c>
      <c r="L2" s="5" t="str" cm="1">
        <f t="array" ref="L2:L4">G2:G4</f>
        <v>t</v>
      </c>
      <c r="T2" s="5" cm="1">
        <f t="array" ref="T2:T4">H2:H4</f>
        <v>12.031693000000001</v>
      </c>
      <c r="AB2" s="5" cm="1">
        <f t="array" ref="AB2:AB4">I2:I4</f>
        <v>72</v>
      </c>
    </row>
    <row r="3" spans="1:34" x14ac:dyDescent="0.25">
      <c r="A3" t="s">
        <v>10</v>
      </c>
      <c r="B3" t="s">
        <v>1319</v>
      </c>
      <c r="C3" t="s">
        <v>1345</v>
      </c>
      <c r="D3" t="s">
        <v>8</v>
      </c>
      <c r="E3">
        <v>67</v>
      </c>
      <c r="F3" t="s">
        <v>11</v>
      </c>
      <c r="G3" s="2" t="s">
        <v>223</v>
      </c>
      <c r="H3">
        <v>12.373105000000001</v>
      </c>
      <c r="I3">
        <v>73</v>
      </c>
      <c r="J3" t="s">
        <v>1270</v>
      </c>
      <c r="K3" t="s">
        <v>1327</v>
      </c>
      <c r="L3" t="str">
        <v>f</v>
      </c>
      <c r="T3">
        <v>12.373105000000001</v>
      </c>
      <c r="AB3">
        <v>73</v>
      </c>
    </row>
    <row r="4" spans="1:34" x14ac:dyDescent="0.25">
      <c r="A4" t="s">
        <v>12</v>
      </c>
      <c r="B4" t="s">
        <v>1319</v>
      </c>
      <c r="C4" t="s">
        <v>1345</v>
      </c>
      <c r="D4" t="s">
        <v>8</v>
      </c>
      <c r="E4">
        <v>67</v>
      </c>
      <c r="F4" t="s">
        <v>13</v>
      </c>
      <c r="G4" s="2" t="s">
        <v>222</v>
      </c>
      <c r="H4">
        <v>10.56129</v>
      </c>
      <c r="I4">
        <v>63</v>
      </c>
      <c r="J4" t="s">
        <v>1270</v>
      </c>
      <c r="K4" t="s">
        <v>1327</v>
      </c>
      <c r="L4" t="str">
        <v>t</v>
      </c>
      <c r="T4">
        <v>10.56129</v>
      </c>
      <c r="AB4">
        <v>63</v>
      </c>
    </row>
    <row r="5" spans="1:34" x14ac:dyDescent="0.25">
      <c r="A5" t="s">
        <v>14</v>
      </c>
      <c r="B5" t="s">
        <v>1319</v>
      </c>
      <c r="C5" t="s">
        <v>1345</v>
      </c>
      <c r="D5" t="s">
        <v>8</v>
      </c>
      <c r="E5">
        <v>77</v>
      </c>
      <c r="F5" t="s">
        <v>15</v>
      </c>
      <c r="G5" s="2" t="s">
        <v>223</v>
      </c>
      <c r="H5">
        <v>69.193369000000004</v>
      </c>
      <c r="I5">
        <v>418</v>
      </c>
      <c r="J5" t="s">
        <v>1270</v>
      </c>
      <c r="K5" t="s">
        <v>1327</v>
      </c>
      <c r="M5" t="str" cm="1">
        <f t="array" ref="M5:M7">G5:G7</f>
        <v>f</v>
      </c>
      <c r="U5" cm="1">
        <f t="array" ref="U5:U7">H5:H7</f>
        <v>69.193369000000004</v>
      </c>
      <c r="AC5" cm="1">
        <f t="array" ref="AC5:AC7">I5:I7</f>
        <v>418</v>
      </c>
    </row>
    <row r="6" spans="1:34" x14ac:dyDescent="0.25">
      <c r="A6" t="s">
        <v>16</v>
      </c>
      <c r="B6" t="s">
        <v>1319</v>
      </c>
      <c r="C6" t="s">
        <v>1345</v>
      </c>
      <c r="D6" t="s">
        <v>8</v>
      </c>
      <c r="E6">
        <v>77</v>
      </c>
      <c r="F6" t="s">
        <v>17</v>
      </c>
      <c r="G6" s="2" t="s">
        <v>223</v>
      </c>
      <c r="H6">
        <v>52.461770000000001</v>
      </c>
      <c r="I6">
        <v>327</v>
      </c>
      <c r="J6" t="s">
        <v>1270</v>
      </c>
      <c r="K6" t="s">
        <v>1327</v>
      </c>
      <c r="M6" t="str">
        <v>f</v>
      </c>
      <c r="U6">
        <v>52.461770000000001</v>
      </c>
      <c r="AC6">
        <v>327</v>
      </c>
    </row>
    <row r="7" spans="1:34" x14ac:dyDescent="0.25">
      <c r="A7" t="s">
        <v>18</v>
      </c>
      <c r="B7" t="s">
        <v>1319</v>
      </c>
      <c r="C7" t="s">
        <v>1345</v>
      </c>
      <c r="D7" t="s">
        <v>8</v>
      </c>
      <c r="E7">
        <v>77</v>
      </c>
      <c r="F7" t="s">
        <v>19</v>
      </c>
      <c r="G7" s="2" t="s">
        <v>223</v>
      </c>
      <c r="H7">
        <v>83.499346000000003</v>
      </c>
      <c r="I7">
        <v>502</v>
      </c>
      <c r="J7" t="s">
        <v>1270</v>
      </c>
      <c r="K7" t="s">
        <v>1327</v>
      </c>
      <c r="M7" t="str">
        <v>f</v>
      </c>
      <c r="U7">
        <v>83.499346000000003</v>
      </c>
      <c r="AC7">
        <v>502</v>
      </c>
    </row>
    <row r="8" spans="1:34" x14ac:dyDescent="0.25">
      <c r="A8" t="s">
        <v>20</v>
      </c>
      <c r="B8" t="s">
        <v>1319</v>
      </c>
      <c r="C8" t="s">
        <v>1345</v>
      </c>
      <c r="D8" t="s">
        <v>8</v>
      </c>
      <c r="E8">
        <v>132</v>
      </c>
      <c r="F8" t="s">
        <v>21</v>
      </c>
      <c r="G8" s="2" t="s">
        <v>223</v>
      </c>
      <c r="H8">
        <v>48.687128999999999</v>
      </c>
      <c r="I8">
        <v>294</v>
      </c>
      <c r="J8" t="s">
        <v>1270</v>
      </c>
      <c r="K8" t="s">
        <v>1327</v>
      </c>
      <c r="N8" t="str" cm="1">
        <f t="array" ref="N8:N10">G8:G10</f>
        <v>f</v>
      </c>
      <c r="V8" cm="1">
        <f t="array" ref="V8:V10">H8:H10</f>
        <v>48.687128999999999</v>
      </c>
      <c r="AD8" cm="1">
        <f t="array" ref="AD8:AD10">I8:I10</f>
        <v>294</v>
      </c>
    </row>
    <row r="9" spans="1:34" x14ac:dyDescent="0.25">
      <c r="A9" t="s">
        <v>22</v>
      </c>
      <c r="B9" t="s">
        <v>1319</v>
      </c>
      <c r="C9" t="s">
        <v>1345</v>
      </c>
      <c r="D9" t="s">
        <v>8</v>
      </c>
      <c r="E9">
        <v>132</v>
      </c>
      <c r="F9" t="s">
        <v>23</v>
      </c>
      <c r="G9" s="2" t="s">
        <v>223</v>
      </c>
      <c r="H9">
        <v>53.305315</v>
      </c>
      <c r="I9">
        <v>299</v>
      </c>
      <c r="J9" t="s">
        <v>1270</v>
      </c>
      <c r="K9" t="s">
        <v>1327</v>
      </c>
      <c r="N9" t="str">
        <v>f</v>
      </c>
      <c r="V9">
        <v>53.305315</v>
      </c>
      <c r="AD9">
        <v>299</v>
      </c>
    </row>
    <row r="10" spans="1:34" x14ac:dyDescent="0.25">
      <c r="A10" t="s">
        <v>24</v>
      </c>
      <c r="B10" t="s">
        <v>1319</v>
      </c>
      <c r="C10" t="s">
        <v>1345</v>
      </c>
      <c r="D10" t="s">
        <v>8</v>
      </c>
      <c r="E10">
        <v>132</v>
      </c>
      <c r="F10" t="s">
        <v>25</v>
      </c>
      <c r="G10" s="2" t="s">
        <v>222</v>
      </c>
      <c r="H10">
        <v>55.94341</v>
      </c>
      <c r="I10">
        <v>281</v>
      </c>
      <c r="J10" t="s">
        <v>1270</v>
      </c>
      <c r="K10" t="s">
        <v>1327</v>
      </c>
      <c r="N10" t="str">
        <v>t</v>
      </c>
      <c r="V10">
        <v>55.94341</v>
      </c>
      <c r="AD10">
        <v>281</v>
      </c>
    </row>
    <row r="11" spans="1:34" x14ac:dyDescent="0.25">
      <c r="A11" t="s">
        <v>26</v>
      </c>
      <c r="B11" t="s">
        <v>1319</v>
      </c>
      <c r="C11" t="s">
        <v>1345</v>
      </c>
      <c r="D11" t="s">
        <v>8</v>
      </c>
      <c r="E11">
        <v>105</v>
      </c>
      <c r="F11" t="s">
        <v>27</v>
      </c>
      <c r="G11" s="2" t="s">
        <v>223</v>
      </c>
      <c r="H11">
        <v>64.760991000000004</v>
      </c>
      <c r="I11">
        <v>320</v>
      </c>
      <c r="J11" t="s">
        <v>1270</v>
      </c>
      <c r="K11" t="s">
        <v>1327</v>
      </c>
      <c r="O11" t="str" cm="1">
        <f t="array" ref="O11:O13">G11:G13</f>
        <v>f</v>
      </c>
      <c r="W11" cm="1">
        <f t="array" ref="W11:W13">H11:H13</f>
        <v>64.760991000000004</v>
      </c>
      <c r="AE11" cm="1">
        <f t="array" ref="AE11:AE13">I11:I13</f>
        <v>320</v>
      </c>
    </row>
    <row r="12" spans="1:34" x14ac:dyDescent="0.25">
      <c r="A12" t="s">
        <v>28</v>
      </c>
      <c r="B12" t="s">
        <v>1319</v>
      </c>
      <c r="C12" t="s">
        <v>1345</v>
      </c>
      <c r="D12" t="s">
        <v>8</v>
      </c>
      <c r="E12">
        <v>105</v>
      </c>
      <c r="F12" t="s">
        <v>29</v>
      </c>
      <c r="G12" s="2" t="s">
        <v>223</v>
      </c>
      <c r="H12">
        <v>78.616534999999999</v>
      </c>
      <c r="I12">
        <v>386</v>
      </c>
      <c r="J12" t="s">
        <v>1270</v>
      </c>
      <c r="K12" t="s">
        <v>1327</v>
      </c>
      <c r="O12" t="str">
        <v>f</v>
      </c>
      <c r="W12">
        <v>78.616534999999999</v>
      </c>
      <c r="AE12">
        <v>386</v>
      </c>
    </row>
    <row r="13" spans="1:34" x14ac:dyDescent="0.25">
      <c r="A13" t="s">
        <v>30</v>
      </c>
      <c r="B13" t="s">
        <v>1319</v>
      </c>
      <c r="C13" t="s">
        <v>1345</v>
      </c>
      <c r="D13" t="s">
        <v>8</v>
      </c>
      <c r="E13">
        <v>105</v>
      </c>
      <c r="F13" t="s">
        <v>31</v>
      </c>
      <c r="G13" s="2" t="s">
        <v>223</v>
      </c>
      <c r="H13">
        <v>56.238866999999999</v>
      </c>
      <c r="I13">
        <v>276</v>
      </c>
      <c r="J13" t="s">
        <v>1270</v>
      </c>
      <c r="K13" t="s">
        <v>1327</v>
      </c>
      <c r="O13" t="str">
        <v>f</v>
      </c>
      <c r="W13">
        <v>56.238866999999999</v>
      </c>
      <c r="AE13">
        <v>276</v>
      </c>
    </row>
    <row r="14" spans="1:34" x14ac:dyDescent="0.25">
      <c r="A14" s="1" t="s">
        <v>32</v>
      </c>
      <c r="B14" s="1" t="s">
        <v>1319</v>
      </c>
      <c r="C14" s="1" t="s">
        <v>1345</v>
      </c>
      <c r="D14" t="s">
        <v>8</v>
      </c>
      <c r="E14">
        <v>103</v>
      </c>
      <c r="F14" t="s">
        <v>33</v>
      </c>
      <c r="G14" s="2" t="s">
        <v>223</v>
      </c>
      <c r="H14">
        <v>38.538637999999999</v>
      </c>
      <c r="I14">
        <v>188</v>
      </c>
      <c r="J14" t="s">
        <v>1270</v>
      </c>
      <c r="K14" t="s">
        <v>1327</v>
      </c>
      <c r="P14" t="str" cm="1">
        <f t="array" ref="P14:P16">G14:G16</f>
        <v>f</v>
      </c>
      <c r="X14" cm="1">
        <f t="array" ref="X14:X16">H14:H16</f>
        <v>38.538637999999999</v>
      </c>
      <c r="AF14" cm="1">
        <f t="array" ref="AF14:AF16">I14:I16</f>
        <v>188</v>
      </c>
    </row>
    <row r="15" spans="1:34" x14ac:dyDescent="0.25">
      <c r="A15" s="1" t="s">
        <v>34</v>
      </c>
      <c r="B15" s="1" t="s">
        <v>1319</v>
      </c>
      <c r="C15" s="1" t="s">
        <v>1345</v>
      </c>
      <c r="D15" t="s">
        <v>8</v>
      </c>
      <c r="E15">
        <v>103</v>
      </c>
      <c r="F15" t="s">
        <v>35</v>
      </c>
      <c r="G15" s="2" t="s">
        <v>222</v>
      </c>
      <c r="H15">
        <v>33.014214000000003</v>
      </c>
      <c r="I15">
        <v>159</v>
      </c>
      <c r="J15" t="s">
        <v>1270</v>
      </c>
      <c r="K15" t="s">
        <v>1327</v>
      </c>
      <c r="P15" t="str">
        <v>t</v>
      </c>
      <c r="X15">
        <v>33.014214000000003</v>
      </c>
      <c r="AF15">
        <v>159</v>
      </c>
    </row>
    <row r="16" spans="1:34" x14ac:dyDescent="0.25">
      <c r="A16" s="1" t="s">
        <v>36</v>
      </c>
      <c r="B16" s="1" t="s">
        <v>1319</v>
      </c>
      <c r="C16" s="1" t="s">
        <v>1345</v>
      </c>
      <c r="D16" t="s">
        <v>8</v>
      </c>
      <c r="E16">
        <v>103</v>
      </c>
      <c r="F16" t="s">
        <v>37</v>
      </c>
      <c r="G16" s="2" t="s">
        <v>222</v>
      </c>
      <c r="H16">
        <v>49.959868999999998</v>
      </c>
      <c r="I16">
        <v>244</v>
      </c>
      <c r="J16" t="s">
        <v>1270</v>
      </c>
      <c r="K16" t="s">
        <v>1327</v>
      </c>
      <c r="P16" t="str">
        <v>t</v>
      </c>
      <c r="X16">
        <v>49.959868999999998</v>
      </c>
      <c r="AF16">
        <v>244</v>
      </c>
    </row>
    <row r="17" spans="1:34" x14ac:dyDescent="0.25">
      <c r="A17" t="s">
        <v>38</v>
      </c>
      <c r="B17" t="s">
        <v>1319</v>
      </c>
      <c r="C17" t="s">
        <v>1345</v>
      </c>
      <c r="D17" t="s">
        <v>8</v>
      </c>
      <c r="E17">
        <v>104</v>
      </c>
      <c r="F17" t="s">
        <v>39</v>
      </c>
      <c r="G17" s="2" t="s">
        <v>223</v>
      </c>
      <c r="H17">
        <v>55.098435000000002</v>
      </c>
      <c r="I17">
        <v>292</v>
      </c>
      <c r="J17" t="s">
        <v>1270</v>
      </c>
      <c r="K17" t="s">
        <v>1327</v>
      </c>
      <c r="Q17" t="str" cm="1">
        <f t="array" ref="Q17:Q19">G17:G19</f>
        <v>f</v>
      </c>
      <c r="Y17" cm="1">
        <f t="array" ref="Y17:Y19">H17:H19</f>
        <v>55.098435000000002</v>
      </c>
      <c r="AG17" cm="1">
        <f t="array" ref="AG17:AG19">I17:I19</f>
        <v>292</v>
      </c>
    </row>
    <row r="18" spans="1:34" x14ac:dyDescent="0.25">
      <c r="A18" t="s">
        <v>40</v>
      </c>
      <c r="B18" t="s">
        <v>1319</v>
      </c>
      <c r="C18" t="s">
        <v>1345</v>
      </c>
      <c r="D18" t="s">
        <v>8</v>
      </c>
      <c r="E18">
        <v>104</v>
      </c>
      <c r="F18" t="s">
        <v>41</v>
      </c>
      <c r="G18" s="2" t="s">
        <v>223</v>
      </c>
      <c r="H18">
        <v>51.015625</v>
      </c>
      <c r="I18">
        <v>254</v>
      </c>
      <c r="J18" t="s">
        <v>1270</v>
      </c>
      <c r="K18" t="s">
        <v>1327</v>
      </c>
      <c r="Q18" t="str">
        <v>f</v>
      </c>
      <c r="Y18">
        <v>51.015625</v>
      </c>
      <c r="AG18">
        <v>254</v>
      </c>
    </row>
    <row r="19" spans="1:34" x14ac:dyDescent="0.25">
      <c r="A19" t="s">
        <v>42</v>
      </c>
      <c r="B19" t="s">
        <v>1319</v>
      </c>
      <c r="C19" t="s">
        <v>1345</v>
      </c>
      <c r="D19" t="s">
        <v>8</v>
      </c>
      <c r="E19">
        <v>104</v>
      </c>
      <c r="F19" t="s">
        <v>43</v>
      </c>
      <c r="G19" s="2" t="s">
        <v>223</v>
      </c>
      <c r="H19">
        <v>67.057271</v>
      </c>
      <c r="I19">
        <v>324</v>
      </c>
      <c r="J19" t="s">
        <v>1270</v>
      </c>
      <c r="K19" t="s">
        <v>1327</v>
      </c>
      <c r="Q19" t="str">
        <v>f</v>
      </c>
      <c r="Y19">
        <v>67.057271</v>
      </c>
      <c r="AG19">
        <v>324</v>
      </c>
    </row>
    <row r="20" spans="1:34" x14ac:dyDescent="0.25">
      <c r="A20" t="s">
        <v>44</v>
      </c>
      <c r="B20" t="s">
        <v>1319</v>
      </c>
      <c r="C20" t="s">
        <v>1345</v>
      </c>
      <c r="D20" t="s">
        <v>8</v>
      </c>
      <c r="E20">
        <v>108</v>
      </c>
      <c r="F20" t="s">
        <v>45</v>
      </c>
      <c r="G20" s="2" t="s">
        <v>223</v>
      </c>
      <c r="H20">
        <v>36.324204999999999</v>
      </c>
      <c r="I20">
        <v>181</v>
      </c>
      <c r="J20" t="s">
        <v>1270</v>
      </c>
      <c r="K20" t="s">
        <v>1327</v>
      </c>
      <c r="R20" t="str" cm="1">
        <f t="array" ref="R20:R22">G20:G22</f>
        <v>f</v>
      </c>
      <c r="Z20" cm="1">
        <f t="array" ref="Z20:Z22">H20:H22</f>
        <v>36.324204999999999</v>
      </c>
      <c r="AH20" cm="1">
        <f t="array" ref="AH20:AH22">I20:I22</f>
        <v>181</v>
      </c>
    </row>
    <row r="21" spans="1:34" x14ac:dyDescent="0.25">
      <c r="A21" t="s">
        <v>46</v>
      </c>
      <c r="B21" t="s">
        <v>1319</v>
      </c>
      <c r="C21" t="s">
        <v>1345</v>
      </c>
      <c r="D21" t="s">
        <v>8</v>
      </c>
      <c r="E21">
        <v>108</v>
      </c>
      <c r="F21" t="s">
        <v>47</v>
      </c>
      <c r="G21" s="2" t="s">
        <v>223</v>
      </c>
      <c r="H21">
        <v>91.252932999999999</v>
      </c>
      <c r="I21">
        <v>502</v>
      </c>
      <c r="J21" t="s">
        <v>1270</v>
      </c>
      <c r="K21" t="s">
        <v>1327</v>
      </c>
      <c r="R21" t="str">
        <v>f</v>
      </c>
      <c r="Z21">
        <v>91.252932999999999</v>
      </c>
      <c r="AH21">
        <v>502</v>
      </c>
    </row>
    <row r="22" spans="1:34" s="3" customFormat="1" x14ac:dyDescent="0.25">
      <c r="A22" s="3" t="s">
        <v>48</v>
      </c>
      <c r="B22" s="3" t="s">
        <v>1319</v>
      </c>
      <c r="C22" s="3" t="s">
        <v>1345</v>
      </c>
      <c r="D22" s="3" t="s">
        <v>8</v>
      </c>
      <c r="E22" s="3">
        <v>108</v>
      </c>
      <c r="F22" s="3" t="s">
        <v>49</v>
      </c>
      <c r="G22" s="4" t="s">
        <v>223</v>
      </c>
      <c r="H22" s="3">
        <v>94.562652999999997</v>
      </c>
      <c r="I22" s="3">
        <v>500</v>
      </c>
      <c r="J22" s="3" t="s">
        <v>1270</v>
      </c>
      <c r="K22" s="3" t="s">
        <v>1327</v>
      </c>
      <c r="R22" s="3" t="str">
        <v>f</v>
      </c>
      <c r="Z22" s="3">
        <v>94.562652999999997</v>
      </c>
      <c r="AH22" s="3">
        <v>500</v>
      </c>
    </row>
    <row r="23" spans="1:34" s="5" customFormat="1" x14ac:dyDescent="0.25">
      <c r="A23" s="5" t="s">
        <v>50</v>
      </c>
      <c r="B23" s="5" t="s">
        <v>1344</v>
      </c>
      <c r="C23" s="5" t="s">
        <v>1345</v>
      </c>
      <c r="D23" s="5" t="s">
        <v>51</v>
      </c>
      <c r="E23" s="5">
        <v>67</v>
      </c>
      <c r="F23" s="5" t="s">
        <v>52</v>
      </c>
      <c r="G23" s="6" t="s">
        <v>223</v>
      </c>
      <c r="H23" s="5">
        <v>14.029426000000001</v>
      </c>
      <c r="I23" s="5">
        <v>78</v>
      </c>
      <c r="J23" s="5" t="s">
        <v>1270</v>
      </c>
      <c r="K23" s="5" t="s">
        <v>1327</v>
      </c>
      <c r="L23" s="5" t="str" cm="1">
        <f t="array" ref="L23:L25">G23:G25</f>
        <v>f</v>
      </c>
      <c r="T23" s="5" cm="1">
        <f t="array" ref="T23:T25">H23:H25</f>
        <v>14.029426000000001</v>
      </c>
      <c r="AB23" s="5" cm="1">
        <f t="array" ref="AB23:AB25">I23:I25</f>
        <v>78</v>
      </c>
    </row>
    <row r="24" spans="1:34" x14ac:dyDescent="0.25">
      <c r="A24" t="s">
        <v>53</v>
      </c>
      <c r="B24" t="s">
        <v>1344</v>
      </c>
      <c r="C24" t="s">
        <v>1345</v>
      </c>
      <c r="D24" t="s">
        <v>51</v>
      </c>
      <c r="E24">
        <v>67</v>
      </c>
      <c r="F24" t="s">
        <v>54</v>
      </c>
      <c r="G24" s="2" t="s">
        <v>223</v>
      </c>
      <c r="H24">
        <v>10.216123</v>
      </c>
      <c r="I24">
        <v>54</v>
      </c>
      <c r="J24" t="s">
        <v>1270</v>
      </c>
      <c r="K24" t="s">
        <v>1327</v>
      </c>
      <c r="L24" t="str">
        <v>f</v>
      </c>
      <c r="T24">
        <v>10.216123</v>
      </c>
      <c r="AB24">
        <v>54</v>
      </c>
    </row>
    <row r="25" spans="1:34" x14ac:dyDescent="0.25">
      <c r="A25" t="s">
        <v>55</v>
      </c>
      <c r="B25" t="s">
        <v>1344</v>
      </c>
      <c r="C25" t="s">
        <v>1345</v>
      </c>
      <c r="D25" t="s">
        <v>51</v>
      </c>
      <c r="E25">
        <v>67</v>
      </c>
      <c r="F25" t="s">
        <v>56</v>
      </c>
      <c r="G25" s="2" t="s">
        <v>223</v>
      </c>
      <c r="H25">
        <v>9.3635979999999996</v>
      </c>
      <c r="I25">
        <v>58</v>
      </c>
      <c r="J25" t="s">
        <v>1270</v>
      </c>
      <c r="K25" t="s">
        <v>1327</v>
      </c>
      <c r="L25" t="str">
        <v>f</v>
      </c>
      <c r="T25">
        <v>9.3635979999999996</v>
      </c>
      <c r="AB25">
        <v>58</v>
      </c>
    </row>
    <row r="26" spans="1:34" x14ac:dyDescent="0.25">
      <c r="A26" t="s">
        <v>57</v>
      </c>
      <c r="B26" t="s">
        <v>1344</v>
      </c>
      <c r="C26" t="s">
        <v>1345</v>
      </c>
      <c r="D26" t="s">
        <v>51</v>
      </c>
      <c r="E26">
        <v>77</v>
      </c>
      <c r="F26" t="s">
        <v>58</v>
      </c>
      <c r="G26" s="2" t="s">
        <v>222</v>
      </c>
      <c r="H26">
        <v>81.675781000000001</v>
      </c>
      <c r="I26">
        <v>451</v>
      </c>
      <c r="J26" t="s">
        <v>1270</v>
      </c>
      <c r="K26" t="s">
        <v>1327</v>
      </c>
      <c r="M26" t="str" cm="1">
        <f t="array" ref="M26:M28">G26:G28</f>
        <v>t</v>
      </c>
      <c r="U26" cm="1">
        <f t="array" ref="U26:U28">H26:H28</f>
        <v>81.675781000000001</v>
      </c>
      <c r="AC26" cm="1">
        <f t="array" ref="AC26:AC28">I26:I28</f>
        <v>451</v>
      </c>
    </row>
    <row r="27" spans="1:34" x14ac:dyDescent="0.25">
      <c r="A27" t="s">
        <v>59</v>
      </c>
      <c r="B27" t="s">
        <v>1344</v>
      </c>
      <c r="C27" t="s">
        <v>1345</v>
      </c>
      <c r="D27" t="s">
        <v>51</v>
      </c>
      <c r="E27">
        <v>77</v>
      </c>
      <c r="F27" t="s">
        <v>60</v>
      </c>
      <c r="G27" s="2" t="s">
        <v>222</v>
      </c>
      <c r="H27">
        <v>52.083226000000003</v>
      </c>
      <c r="I27">
        <v>281</v>
      </c>
      <c r="J27" t="s">
        <v>1270</v>
      </c>
      <c r="K27" t="s">
        <v>1327</v>
      </c>
      <c r="M27" t="str">
        <v>t</v>
      </c>
      <c r="U27">
        <v>52.083226000000003</v>
      </c>
      <c r="AC27">
        <v>281</v>
      </c>
    </row>
    <row r="28" spans="1:34" x14ac:dyDescent="0.25">
      <c r="A28" t="s">
        <v>61</v>
      </c>
      <c r="B28" t="s">
        <v>1344</v>
      </c>
      <c r="C28" t="s">
        <v>1345</v>
      </c>
      <c r="D28" t="s">
        <v>51</v>
      </c>
      <c r="E28">
        <v>77</v>
      </c>
      <c r="F28" t="s">
        <v>62</v>
      </c>
      <c r="G28" s="2" t="s">
        <v>223</v>
      </c>
      <c r="H28">
        <v>63.100005000000003</v>
      </c>
      <c r="I28">
        <v>342</v>
      </c>
      <c r="J28" t="s">
        <v>1270</v>
      </c>
      <c r="K28" t="s">
        <v>1327</v>
      </c>
      <c r="M28" t="str">
        <v>f</v>
      </c>
      <c r="U28">
        <v>63.100005000000003</v>
      </c>
      <c r="AC28">
        <v>342</v>
      </c>
    </row>
    <row r="29" spans="1:34" x14ac:dyDescent="0.25">
      <c r="A29" t="s">
        <v>63</v>
      </c>
      <c r="B29" t="s">
        <v>1344</v>
      </c>
      <c r="C29" t="s">
        <v>1345</v>
      </c>
      <c r="D29" t="s">
        <v>51</v>
      </c>
      <c r="E29">
        <v>132</v>
      </c>
      <c r="F29" t="s">
        <v>64</v>
      </c>
      <c r="G29" s="2" t="s">
        <v>223</v>
      </c>
      <c r="H29">
        <v>50.911923000000002</v>
      </c>
      <c r="I29">
        <v>270</v>
      </c>
      <c r="J29" t="s">
        <v>1270</v>
      </c>
      <c r="K29" t="s">
        <v>1327</v>
      </c>
      <c r="N29" t="str" cm="1">
        <f t="array" ref="N29:N31">G29:G31</f>
        <v>f</v>
      </c>
      <c r="V29" cm="1">
        <f t="array" ref="V29:V31">H29:H31</f>
        <v>50.911923000000002</v>
      </c>
      <c r="AD29" cm="1">
        <f t="array" ref="AD29:AD31">I29:I31</f>
        <v>270</v>
      </c>
    </row>
    <row r="30" spans="1:34" x14ac:dyDescent="0.25">
      <c r="A30" t="s">
        <v>65</v>
      </c>
      <c r="B30" t="s">
        <v>1344</v>
      </c>
      <c r="C30" t="s">
        <v>1345</v>
      </c>
      <c r="D30" t="s">
        <v>51</v>
      </c>
      <c r="E30">
        <v>132</v>
      </c>
      <c r="F30" t="s">
        <v>66</v>
      </c>
      <c r="G30" s="2" t="s">
        <v>223</v>
      </c>
      <c r="H30">
        <v>56.491928000000001</v>
      </c>
      <c r="I30">
        <v>286</v>
      </c>
      <c r="J30" t="s">
        <v>1270</v>
      </c>
      <c r="K30" t="s">
        <v>1327</v>
      </c>
      <c r="N30" t="str">
        <v>f</v>
      </c>
      <c r="V30">
        <v>56.491928000000001</v>
      </c>
      <c r="AD30">
        <v>286</v>
      </c>
    </row>
    <row r="31" spans="1:34" x14ac:dyDescent="0.25">
      <c r="A31" t="s">
        <v>67</v>
      </c>
      <c r="B31" t="s">
        <v>1344</v>
      </c>
      <c r="C31" t="s">
        <v>1345</v>
      </c>
      <c r="D31" t="s">
        <v>51</v>
      </c>
      <c r="E31">
        <v>132</v>
      </c>
      <c r="F31" t="s">
        <v>68</v>
      </c>
      <c r="G31" s="2" t="s">
        <v>222</v>
      </c>
      <c r="H31">
        <v>56.637957</v>
      </c>
      <c r="I31">
        <v>307</v>
      </c>
      <c r="J31" t="s">
        <v>1270</v>
      </c>
      <c r="K31" t="s">
        <v>1327</v>
      </c>
      <c r="N31" t="str">
        <v>t</v>
      </c>
      <c r="V31">
        <v>56.637957</v>
      </c>
      <c r="AD31">
        <v>307</v>
      </c>
    </row>
    <row r="32" spans="1:34" x14ac:dyDescent="0.25">
      <c r="A32" t="s">
        <v>69</v>
      </c>
      <c r="B32" t="s">
        <v>1344</v>
      </c>
      <c r="C32" t="s">
        <v>1345</v>
      </c>
      <c r="D32" t="s">
        <v>51</v>
      </c>
      <c r="E32">
        <v>105</v>
      </c>
      <c r="F32" t="s">
        <v>70</v>
      </c>
      <c r="G32" s="2" t="s">
        <v>223</v>
      </c>
      <c r="H32">
        <v>34.350219000000003</v>
      </c>
      <c r="I32">
        <v>187</v>
      </c>
      <c r="J32" t="s">
        <v>1270</v>
      </c>
      <c r="K32" t="s">
        <v>1327</v>
      </c>
      <c r="O32" t="str" cm="1">
        <f t="array" ref="O32:O34">G32:G34</f>
        <v>f</v>
      </c>
      <c r="W32" cm="1">
        <f t="array" ref="W32:W34">H32:H34</f>
        <v>34.350219000000003</v>
      </c>
      <c r="AE32" cm="1">
        <f t="array" ref="AE32:AE34">I32:I34</f>
        <v>187</v>
      </c>
    </row>
    <row r="33" spans="1:34" x14ac:dyDescent="0.25">
      <c r="A33" t="s">
        <v>71</v>
      </c>
      <c r="B33" t="s">
        <v>1344</v>
      </c>
      <c r="C33" t="s">
        <v>1345</v>
      </c>
      <c r="D33" t="s">
        <v>51</v>
      </c>
      <c r="E33">
        <v>105</v>
      </c>
      <c r="F33" t="s">
        <v>72</v>
      </c>
      <c r="G33" s="2" t="s">
        <v>223</v>
      </c>
      <c r="H33">
        <v>27.820649</v>
      </c>
      <c r="I33">
        <v>159</v>
      </c>
      <c r="J33" t="s">
        <v>1270</v>
      </c>
      <c r="K33" t="s">
        <v>1327</v>
      </c>
      <c r="O33" t="str">
        <v>f</v>
      </c>
      <c r="W33">
        <v>27.820649</v>
      </c>
      <c r="AE33">
        <v>159</v>
      </c>
    </row>
    <row r="34" spans="1:34" x14ac:dyDescent="0.25">
      <c r="A34" t="s">
        <v>73</v>
      </c>
      <c r="B34" t="s">
        <v>1344</v>
      </c>
      <c r="C34" t="s">
        <v>1345</v>
      </c>
      <c r="D34" t="s">
        <v>51</v>
      </c>
      <c r="E34">
        <v>105</v>
      </c>
      <c r="F34" t="s">
        <v>74</v>
      </c>
      <c r="G34" s="2" t="s">
        <v>223</v>
      </c>
      <c r="H34">
        <v>91.225779000000003</v>
      </c>
      <c r="I34">
        <v>502</v>
      </c>
      <c r="J34" t="s">
        <v>1270</v>
      </c>
      <c r="K34" t="s">
        <v>1327</v>
      </c>
      <c r="O34" t="str">
        <v>f</v>
      </c>
      <c r="W34">
        <v>91.225779000000003</v>
      </c>
      <c r="AE34">
        <v>502</v>
      </c>
    </row>
    <row r="35" spans="1:34" x14ac:dyDescent="0.25">
      <c r="A35" s="1" t="s">
        <v>75</v>
      </c>
      <c r="B35" s="1" t="s">
        <v>1344</v>
      </c>
      <c r="C35" s="1" t="s">
        <v>1345</v>
      </c>
      <c r="D35" t="s">
        <v>51</v>
      </c>
      <c r="E35">
        <v>103</v>
      </c>
      <c r="F35" t="s">
        <v>76</v>
      </c>
      <c r="G35" s="2" t="s">
        <v>223</v>
      </c>
      <c r="H35">
        <v>26.709938000000001</v>
      </c>
      <c r="I35">
        <v>153</v>
      </c>
      <c r="J35" t="s">
        <v>1270</v>
      </c>
      <c r="K35" t="s">
        <v>1327</v>
      </c>
      <c r="P35" t="str" cm="1">
        <f t="array" ref="P35:P37">G35:G37</f>
        <v>f</v>
      </c>
      <c r="X35" cm="1">
        <f t="array" ref="X35:X37">H35:H37</f>
        <v>26.709938000000001</v>
      </c>
      <c r="AF35" cm="1">
        <f t="array" ref="AF35:AF37">I35:I37</f>
        <v>153</v>
      </c>
    </row>
    <row r="36" spans="1:34" x14ac:dyDescent="0.25">
      <c r="A36" s="1" t="s">
        <v>77</v>
      </c>
      <c r="B36" s="1" t="s">
        <v>1344</v>
      </c>
      <c r="C36" s="1" t="s">
        <v>1345</v>
      </c>
      <c r="D36" t="s">
        <v>51</v>
      </c>
      <c r="E36">
        <v>103</v>
      </c>
      <c r="F36" t="s">
        <v>78</v>
      </c>
      <c r="G36" s="2" t="s">
        <v>223</v>
      </c>
      <c r="H36">
        <v>37.337789000000001</v>
      </c>
      <c r="I36">
        <v>219</v>
      </c>
      <c r="J36" t="s">
        <v>1270</v>
      </c>
      <c r="K36" t="s">
        <v>1327</v>
      </c>
      <c r="P36" t="str">
        <v>f</v>
      </c>
      <c r="X36">
        <v>37.337789000000001</v>
      </c>
      <c r="AF36">
        <v>219</v>
      </c>
    </row>
    <row r="37" spans="1:34" x14ac:dyDescent="0.25">
      <c r="A37" s="1" t="s">
        <v>79</v>
      </c>
      <c r="B37" s="1" t="s">
        <v>1344</v>
      </c>
      <c r="C37" s="1" t="s">
        <v>1345</v>
      </c>
      <c r="D37" t="s">
        <v>51</v>
      </c>
      <c r="E37">
        <v>103</v>
      </c>
      <c r="F37" t="s">
        <v>80</v>
      </c>
      <c r="G37" s="2" t="s">
        <v>223</v>
      </c>
      <c r="H37">
        <v>20.785513999999999</v>
      </c>
      <c r="I37">
        <v>130</v>
      </c>
      <c r="J37" t="s">
        <v>1270</v>
      </c>
      <c r="K37" t="s">
        <v>1327</v>
      </c>
      <c r="P37" t="str">
        <v>f</v>
      </c>
      <c r="X37">
        <v>20.785513999999999</v>
      </c>
      <c r="AF37">
        <v>130</v>
      </c>
    </row>
    <row r="38" spans="1:34" x14ac:dyDescent="0.25">
      <c r="A38" t="s">
        <v>81</v>
      </c>
      <c r="B38" t="s">
        <v>1344</v>
      </c>
      <c r="C38" t="s">
        <v>1345</v>
      </c>
      <c r="D38" t="s">
        <v>51</v>
      </c>
      <c r="E38">
        <v>104</v>
      </c>
      <c r="F38" t="s">
        <v>82</v>
      </c>
      <c r="G38" s="2" t="s">
        <v>223</v>
      </c>
      <c r="H38">
        <v>60.214210999999999</v>
      </c>
      <c r="I38">
        <v>343</v>
      </c>
      <c r="J38" t="s">
        <v>1270</v>
      </c>
      <c r="K38" t="s">
        <v>1327</v>
      </c>
      <c r="Q38" t="str" cm="1">
        <f t="array" ref="Q38:Q40">G38:G40</f>
        <v>f</v>
      </c>
      <c r="Y38" cm="1">
        <f t="array" ref="Y38:Y40">H38:H40</f>
        <v>60.214210999999999</v>
      </c>
      <c r="AG38" cm="1">
        <f t="array" ref="AG38:AG40">I38:I40</f>
        <v>343</v>
      </c>
    </row>
    <row r="39" spans="1:34" x14ac:dyDescent="0.25">
      <c r="A39" t="s">
        <v>83</v>
      </c>
      <c r="B39" t="s">
        <v>1344</v>
      </c>
      <c r="C39" t="s">
        <v>1345</v>
      </c>
      <c r="D39" t="s">
        <v>51</v>
      </c>
      <c r="E39">
        <v>104</v>
      </c>
      <c r="F39" t="s">
        <v>84</v>
      </c>
      <c r="G39" s="2" t="s">
        <v>223</v>
      </c>
      <c r="H39">
        <v>53.550621</v>
      </c>
      <c r="I39">
        <v>268</v>
      </c>
      <c r="J39" t="s">
        <v>1270</v>
      </c>
      <c r="K39" t="s">
        <v>1327</v>
      </c>
      <c r="Q39" t="str">
        <v>f</v>
      </c>
      <c r="Y39">
        <v>53.550621</v>
      </c>
      <c r="AG39">
        <v>268</v>
      </c>
    </row>
    <row r="40" spans="1:34" x14ac:dyDescent="0.25">
      <c r="A40" t="s">
        <v>85</v>
      </c>
      <c r="B40" t="s">
        <v>1344</v>
      </c>
      <c r="C40" t="s">
        <v>1345</v>
      </c>
      <c r="D40" t="s">
        <v>51</v>
      </c>
      <c r="E40">
        <v>104</v>
      </c>
      <c r="F40" t="s">
        <v>86</v>
      </c>
      <c r="G40" s="2" t="s">
        <v>222</v>
      </c>
      <c r="H40">
        <v>38.029876999999999</v>
      </c>
      <c r="I40">
        <v>187</v>
      </c>
      <c r="J40" t="s">
        <v>1270</v>
      </c>
      <c r="K40" t="s">
        <v>1327</v>
      </c>
      <c r="Q40" t="str">
        <v>t</v>
      </c>
      <c r="Y40">
        <v>38.029876999999999</v>
      </c>
      <c r="AG40">
        <v>187</v>
      </c>
    </row>
    <row r="41" spans="1:34" x14ac:dyDescent="0.25">
      <c r="A41" t="s">
        <v>87</v>
      </c>
      <c r="B41" t="s">
        <v>1344</v>
      </c>
      <c r="C41" t="s">
        <v>1345</v>
      </c>
      <c r="D41" t="s">
        <v>51</v>
      </c>
      <c r="E41">
        <v>108</v>
      </c>
      <c r="F41" t="s">
        <v>88</v>
      </c>
      <c r="G41" s="2" t="s">
        <v>223</v>
      </c>
      <c r="H41">
        <v>104.175228</v>
      </c>
      <c r="I41">
        <v>502</v>
      </c>
      <c r="J41" t="s">
        <v>1270</v>
      </c>
      <c r="K41" t="s">
        <v>1327</v>
      </c>
      <c r="R41" t="str" cm="1">
        <f t="array" ref="R41:R43">G41:G43</f>
        <v>f</v>
      </c>
      <c r="Z41" cm="1">
        <f t="array" ref="Z41:Z43">H41:H43</f>
        <v>104.175228</v>
      </c>
      <c r="AH41" cm="1">
        <f t="array" ref="AH41:AH43">I41:I43</f>
        <v>502</v>
      </c>
    </row>
    <row r="42" spans="1:34" x14ac:dyDescent="0.25">
      <c r="A42" t="s">
        <v>89</v>
      </c>
      <c r="B42" t="s">
        <v>1344</v>
      </c>
      <c r="C42" t="s">
        <v>1345</v>
      </c>
      <c r="D42" t="s">
        <v>51</v>
      </c>
      <c r="E42">
        <v>108</v>
      </c>
      <c r="F42" t="s">
        <v>90</v>
      </c>
      <c r="G42" s="2" t="s">
        <v>223</v>
      </c>
      <c r="H42">
        <v>34.351053999999998</v>
      </c>
      <c r="I42">
        <v>170</v>
      </c>
      <c r="J42" t="s">
        <v>1270</v>
      </c>
      <c r="K42" t="s">
        <v>1327</v>
      </c>
      <c r="R42" t="str">
        <v>f</v>
      </c>
      <c r="Z42">
        <v>34.351053999999998</v>
      </c>
      <c r="AH42">
        <v>170</v>
      </c>
    </row>
    <row r="43" spans="1:34" s="3" customFormat="1" x14ac:dyDescent="0.25">
      <c r="A43" s="3" t="s">
        <v>91</v>
      </c>
      <c r="B43" s="3" t="s">
        <v>1344</v>
      </c>
      <c r="C43" s="3" t="s">
        <v>1345</v>
      </c>
      <c r="D43" s="3" t="s">
        <v>51</v>
      </c>
      <c r="E43" s="3">
        <v>108</v>
      </c>
      <c r="F43" s="3" t="s">
        <v>92</v>
      </c>
      <c r="G43" s="4" t="s">
        <v>223</v>
      </c>
      <c r="H43" s="3">
        <v>64.905226999999996</v>
      </c>
      <c r="I43" s="3">
        <v>313</v>
      </c>
      <c r="J43" s="3" t="s">
        <v>1270</v>
      </c>
      <c r="K43" s="3" t="s">
        <v>1327</v>
      </c>
      <c r="R43" s="3" t="str">
        <v>f</v>
      </c>
      <c r="Z43" s="3">
        <v>64.905226999999996</v>
      </c>
      <c r="AH43" s="3">
        <v>313</v>
      </c>
    </row>
    <row r="44" spans="1:34" s="5" customFormat="1" x14ac:dyDescent="0.25">
      <c r="A44" s="5" t="s">
        <v>93</v>
      </c>
      <c r="B44" s="5" t="s">
        <v>1344</v>
      </c>
      <c r="C44" s="5" t="s">
        <v>1346</v>
      </c>
      <c r="D44" s="5" t="s">
        <v>94</v>
      </c>
      <c r="E44" s="5">
        <v>59</v>
      </c>
      <c r="F44" s="5" t="s">
        <v>95</v>
      </c>
      <c r="G44" s="6" t="s">
        <v>223</v>
      </c>
      <c r="H44" s="5">
        <v>13.199362000000001</v>
      </c>
      <c r="I44" s="5">
        <v>65</v>
      </c>
      <c r="J44" s="5" t="s">
        <v>1271</v>
      </c>
      <c r="K44" s="5" t="s">
        <v>1327</v>
      </c>
      <c r="L44" s="5" t="str" cm="1">
        <f t="array" ref="L44:L46">G44:G46</f>
        <v>f</v>
      </c>
      <c r="T44" s="5" cm="1">
        <f t="array" ref="T44:T46">H44:H46</f>
        <v>13.199362000000001</v>
      </c>
      <c r="AB44" s="5" cm="1">
        <f t="array" ref="AB44:AB46">I44:I46</f>
        <v>65</v>
      </c>
    </row>
    <row r="45" spans="1:34" x14ac:dyDescent="0.25">
      <c r="A45" t="s">
        <v>96</v>
      </c>
      <c r="B45" t="s">
        <v>1344</v>
      </c>
      <c r="C45" t="s">
        <v>1346</v>
      </c>
      <c r="D45" t="s">
        <v>94</v>
      </c>
      <c r="E45">
        <v>59</v>
      </c>
      <c r="F45" t="s">
        <v>97</v>
      </c>
      <c r="G45" s="2" t="s">
        <v>223</v>
      </c>
      <c r="H45">
        <v>5.7538749999999999</v>
      </c>
      <c r="I45">
        <v>32</v>
      </c>
      <c r="J45" t="s">
        <v>1271</v>
      </c>
      <c r="K45" t="s">
        <v>1327</v>
      </c>
      <c r="L45" t="str">
        <v>f</v>
      </c>
      <c r="T45">
        <v>5.7538749999999999</v>
      </c>
      <c r="AB45">
        <v>32</v>
      </c>
    </row>
    <row r="46" spans="1:34" x14ac:dyDescent="0.25">
      <c r="A46" t="s">
        <v>98</v>
      </c>
      <c r="B46" t="s">
        <v>1344</v>
      </c>
      <c r="C46" t="s">
        <v>1346</v>
      </c>
      <c r="D46" t="s">
        <v>94</v>
      </c>
      <c r="E46">
        <v>59</v>
      </c>
      <c r="F46" t="s">
        <v>99</v>
      </c>
      <c r="G46" s="2" t="s">
        <v>223</v>
      </c>
      <c r="H46">
        <v>12.841998</v>
      </c>
      <c r="I46">
        <v>76</v>
      </c>
      <c r="J46" t="s">
        <v>1271</v>
      </c>
      <c r="K46" t="s">
        <v>1327</v>
      </c>
      <c r="L46" t="str">
        <v>f</v>
      </c>
      <c r="T46">
        <v>12.841998</v>
      </c>
      <c r="AB46">
        <v>76</v>
      </c>
    </row>
    <row r="47" spans="1:34" x14ac:dyDescent="0.25">
      <c r="A47" t="s">
        <v>100</v>
      </c>
      <c r="B47" t="s">
        <v>1344</v>
      </c>
      <c r="C47" t="s">
        <v>1346</v>
      </c>
      <c r="D47" t="s">
        <v>94</v>
      </c>
      <c r="E47">
        <v>69</v>
      </c>
      <c r="F47" t="s">
        <v>101</v>
      </c>
      <c r="G47" s="2" t="s">
        <v>223</v>
      </c>
      <c r="H47">
        <v>98.898821999999996</v>
      </c>
      <c r="I47">
        <v>477</v>
      </c>
      <c r="J47" t="s">
        <v>1271</v>
      </c>
      <c r="K47" t="s">
        <v>1327</v>
      </c>
      <c r="M47" t="str" cm="1">
        <f t="array" ref="M47:M49">G47:G49</f>
        <v>f</v>
      </c>
      <c r="U47" cm="1">
        <f t="array" ref="U47:U49">H47:H49</f>
        <v>98.898821999999996</v>
      </c>
      <c r="AC47" cm="1">
        <f t="array" ref="AC47:AC49">I47:I49</f>
        <v>477</v>
      </c>
    </row>
    <row r="48" spans="1:34" x14ac:dyDescent="0.25">
      <c r="A48" t="s">
        <v>102</v>
      </c>
      <c r="B48" t="s">
        <v>1344</v>
      </c>
      <c r="C48" t="s">
        <v>1346</v>
      </c>
      <c r="D48" t="s">
        <v>94</v>
      </c>
      <c r="E48">
        <v>69</v>
      </c>
      <c r="F48" t="s">
        <v>103</v>
      </c>
      <c r="G48" s="2" t="s">
        <v>223</v>
      </c>
      <c r="H48">
        <v>74.016755000000003</v>
      </c>
      <c r="I48">
        <v>364</v>
      </c>
      <c r="J48" t="s">
        <v>1271</v>
      </c>
      <c r="K48" t="s">
        <v>1327</v>
      </c>
      <c r="M48" t="str">
        <v>f</v>
      </c>
      <c r="U48">
        <v>74.016755000000003</v>
      </c>
      <c r="AC48">
        <v>364</v>
      </c>
    </row>
    <row r="49" spans="1:34" x14ac:dyDescent="0.25">
      <c r="A49" t="s">
        <v>104</v>
      </c>
      <c r="B49" t="s">
        <v>1344</v>
      </c>
      <c r="C49" t="s">
        <v>1346</v>
      </c>
      <c r="D49" t="s">
        <v>94</v>
      </c>
      <c r="E49">
        <v>69</v>
      </c>
      <c r="F49" t="s">
        <v>105</v>
      </c>
      <c r="G49" s="2" t="s">
        <v>223</v>
      </c>
      <c r="H49">
        <v>88.950074999999998</v>
      </c>
      <c r="I49">
        <v>500</v>
      </c>
      <c r="J49" t="s">
        <v>1271</v>
      </c>
      <c r="K49" t="s">
        <v>1327</v>
      </c>
      <c r="M49" t="str">
        <v>f</v>
      </c>
      <c r="U49">
        <v>88.950074999999998</v>
      </c>
      <c r="AC49">
        <v>500</v>
      </c>
    </row>
    <row r="50" spans="1:34" x14ac:dyDescent="0.25">
      <c r="A50" t="s">
        <v>106</v>
      </c>
      <c r="B50" t="s">
        <v>1344</v>
      </c>
      <c r="C50" t="s">
        <v>1346</v>
      </c>
      <c r="D50" t="s">
        <v>94</v>
      </c>
      <c r="E50">
        <v>124</v>
      </c>
      <c r="F50" t="s">
        <v>107</v>
      </c>
      <c r="G50" s="2" t="s">
        <v>223</v>
      </c>
      <c r="H50">
        <v>45.970526</v>
      </c>
      <c r="I50">
        <v>276</v>
      </c>
      <c r="J50" t="s">
        <v>1271</v>
      </c>
      <c r="K50" t="s">
        <v>1327</v>
      </c>
      <c r="N50" t="str" cm="1">
        <f t="array" ref="N50:N52">G50:G52</f>
        <v>f</v>
      </c>
      <c r="V50" cm="1">
        <f t="array" ref="V50:V52">H50:H52</f>
        <v>45.970526</v>
      </c>
      <c r="AD50" cm="1">
        <f t="array" ref="AD50:AD52">I50:I52</f>
        <v>276</v>
      </c>
    </row>
    <row r="51" spans="1:34" x14ac:dyDescent="0.25">
      <c r="A51" t="s">
        <v>108</v>
      </c>
      <c r="B51" t="s">
        <v>1344</v>
      </c>
      <c r="C51" t="s">
        <v>1346</v>
      </c>
      <c r="D51" t="s">
        <v>94</v>
      </c>
      <c r="E51">
        <v>124</v>
      </c>
      <c r="F51" t="s">
        <v>109</v>
      </c>
      <c r="G51" s="2" t="s">
        <v>223</v>
      </c>
      <c r="H51">
        <v>44.069749000000002</v>
      </c>
      <c r="I51">
        <v>257</v>
      </c>
      <c r="J51" t="s">
        <v>1271</v>
      </c>
      <c r="K51" t="s">
        <v>1327</v>
      </c>
      <c r="N51" t="str">
        <v>f</v>
      </c>
      <c r="V51">
        <v>44.069749000000002</v>
      </c>
      <c r="AD51">
        <v>257</v>
      </c>
    </row>
    <row r="52" spans="1:34" x14ac:dyDescent="0.25">
      <c r="A52" t="s">
        <v>110</v>
      </c>
      <c r="B52" t="s">
        <v>1344</v>
      </c>
      <c r="C52" t="s">
        <v>1346</v>
      </c>
      <c r="D52" t="s">
        <v>94</v>
      </c>
      <c r="E52">
        <v>124</v>
      </c>
      <c r="F52" t="s">
        <v>111</v>
      </c>
      <c r="G52" s="2" t="s">
        <v>223</v>
      </c>
      <c r="H52">
        <v>58.150126</v>
      </c>
      <c r="I52">
        <v>347</v>
      </c>
      <c r="J52" t="s">
        <v>1271</v>
      </c>
      <c r="K52" t="s">
        <v>1327</v>
      </c>
      <c r="N52" t="str">
        <v>f</v>
      </c>
      <c r="V52">
        <v>58.150126</v>
      </c>
      <c r="AD52">
        <v>347</v>
      </c>
    </row>
    <row r="53" spans="1:34" x14ac:dyDescent="0.25">
      <c r="A53" t="s">
        <v>112</v>
      </c>
      <c r="B53" t="s">
        <v>1344</v>
      </c>
      <c r="C53" t="s">
        <v>1346</v>
      </c>
      <c r="D53" t="s">
        <v>94</v>
      </c>
      <c r="E53">
        <v>97</v>
      </c>
      <c r="F53" t="s">
        <v>113</v>
      </c>
      <c r="G53" s="2" t="s">
        <v>222</v>
      </c>
      <c r="H53">
        <v>18.381124</v>
      </c>
      <c r="I53">
        <v>111</v>
      </c>
      <c r="J53" t="s">
        <v>1271</v>
      </c>
      <c r="K53" t="s">
        <v>1327</v>
      </c>
      <c r="O53" t="str" cm="1">
        <f t="array" ref="O53:O55">G53:G55</f>
        <v>t</v>
      </c>
      <c r="W53" cm="1">
        <f t="array" ref="W53:W55">H53:H55</f>
        <v>18.381124</v>
      </c>
      <c r="AE53" cm="1">
        <f t="array" ref="AE53:AE55">I53:I55</f>
        <v>111</v>
      </c>
    </row>
    <row r="54" spans="1:34" x14ac:dyDescent="0.25">
      <c r="A54" t="s">
        <v>114</v>
      </c>
      <c r="B54" t="s">
        <v>1344</v>
      </c>
      <c r="C54" t="s">
        <v>1346</v>
      </c>
      <c r="D54" t="s">
        <v>94</v>
      </c>
      <c r="E54">
        <v>97</v>
      </c>
      <c r="F54" t="s">
        <v>115</v>
      </c>
      <c r="G54" s="2" t="s">
        <v>223</v>
      </c>
      <c r="H54">
        <v>35.010575000000003</v>
      </c>
      <c r="I54">
        <v>197</v>
      </c>
      <c r="J54" t="s">
        <v>1271</v>
      </c>
      <c r="K54" t="s">
        <v>1327</v>
      </c>
      <c r="O54" t="str">
        <v>f</v>
      </c>
      <c r="W54">
        <v>35.010575000000003</v>
      </c>
      <c r="AE54">
        <v>197</v>
      </c>
    </row>
    <row r="55" spans="1:34" x14ac:dyDescent="0.25">
      <c r="A55" t="s">
        <v>116</v>
      </c>
      <c r="B55" t="s">
        <v>1344</v>
      </c>
      <c r="C55" t="s">
        <v>1346</v>
      </c>
      <c r="D55" t="s">
        <v>94</v>
      </c>
      <c r="E55">
        <v>97</v>
      </c>
      <c r="F55" t="s">
        <v>117</v>
      </c>
      <c r="G55" s="2" t="s">
        <v>223</v>
      </c>
      <c r="H55">
        <v>37.976923999999997</v>
      </c>
      <c r="I55">
        <v>186</v>
      </c>
      <c r="J55" t="s">
        <v>1271</v>
      </c>
      <c r="K55" t="s">
        <v>1327</v>
      </c>
      <c r="O55" t="str">
        <v>f</v>
      </c>
      <c r="W55">
        <v>37.976923999999997</v>
      </c>
      <c r="AE55">
        <v>186</v>
      </c>
    </row>
    <row r="56" spans="1:34" x14ac:dyDescent="0.25">
      <c r="A56" s="1" t="s">
        <v>118</v>
      </c>
      <c r="B56" s="1" t="s">
        <v>1344</v>
      </c>
      <c r="C56" s="1" t="s">
        <v>1346</v>
      </c>
      <c r="D56" t="s">
        <v>94</v>
      </c>
      <c r="E56">
        <v>95</v>
      </c>
      <c r="F56" t="s">
        <v>119</v>
      </c>
      <c r="G56" s="2" t="s">
        <v>223</v>
      </c>
      <c r="H56">
        <v>41.082895999999998</v>
      </c>
      <c r="I56">
        <v>203</v>
      </c>
      <c r="J56" t="s">
        <v>1271</v>
      </c>
      <c r="K56" t="s">
        <v>1327</v>
      </c>
      <c r="P56" t="str" cm="1">
        <f t="array" ref="P56:P58">G56:G58</f>
        <v>f</v>
      </c>
      <c r="X56" cm="1">
        <f t="array" ref="X56:X58">H56:H58</f>
        <v>41.082895999999998</v>
      </c>
      <c r="AF56" cm="1">
        <f t="array" ref="AF56:AF58">I56:I58</f>
        <v>203</v>
      </c>
    </row>
    <row r="57" spans="1:34" x14ac:dyDescent="0.25">
      <c r="A57" s="1" t="s">
        <v>120</v>
      </c>
      <c r="B57" s="1" t="s">
        <v>1344</v>
      </c>
      <c r="C57" s="1" t="s">
        <v>1346</v>
      </c>
      <c r="D57" t="s">
        <v>94</v>
      </c>
      <c r="E57">
        <v>95</v>
      </c>
      <c r="F57" t="s">
        <v>121</v>
      </c>
      <c r="G57" s="2" t="s">
        <v>223</v>
      </c>
      <c r="H57">
        <v>36.914158</v>
      </c>
      <c r="I57">
        <v>182</v>
      </c>
      <c r="J57" t="s">
        <v>1271</v>
      </c>
      <c r="K57" t="s">
        <v>1327</v>
      </c>
      <c r="P57" t="str">
        <v>f</v>
      </c>
      <c r="X57">
        <v>36.914158</v>
      </c>
      <c r="AF57">
        <v>182</v>
      </c>
    </row>
    <row r="58" spans="1:34" x14ac:dyDescent="0.25">
      <c r="A58" s="1" t="s">
        <v>122</v>
      </c>
      <c r="B58" s="1" t="s">
        <v>1344</v>
      </c>
      <c r="C58" s="1" t="s">
        <v>1346</v>
      </c>
      <c r="D58" t="s">
        <v>94</v>
      </c>
      <c r="E58">
        <v>95</v>
      </c>
      <c r="F58" t="s">
        <v>123</v>
      </c>
      <c r="G58" s="2" t="s">
        <v>223</v>
      </c>
      <c r="H58">
        <v>35.545279999999998</v>
      </c>
      <c r="I58">
        <v>176</v>
      </c>
      <c r="J58" t="s">
        <v>1271</v>
      </c>
      <c r="K58" t="s">
        <v>1327</v>
      </c>
      <c r="P58" t="str">
        <v>f</v>
      </c>
      <c r="X58">
        <v>35.545279999999998</v>
      </c>
      <c r="AF58">
        <v>176</v>
      </c>
    </row>
    <row r="59" spans="1:34" x14ac:dyDescent="0.25">
      <c r="A59" t="s">
        <v>124</v>
      </c>
      <c r="B59" t="s">
        <v>1344</v>
      </c>
      <c r="C59" t="s">
        <v>1346</v>
      </c>
      <c r="D59" t="s">
        <v>94</v>
      </c>
      <c r="E59">
        <v>96</v>
      </c>
      <c r="F59" t="s">
        <v>125</v>
      </c>
      <c r="G59" s="2" t="s">
        <v>222</v>
      </c>
      <c r="H59">
        <v>36.347907999999997</v>
      </c>
      <c r="I59">
        <v>179</v>
      </c>
      <c r="J59" t="s">
        <v>1271</v>
      </c>
      <c r="K59" t="s">
        <v>1327</v>
      </c>
      <c r="Q59" t="str" cm="1">
        <f t="array" ref="Q59:Q61">G59:G61</f>
        <v>t</v>
      </c>
      <c r="Y59" cm="1">
        <f t="array" ref="Y59:Y61">H59:H61</f>
        <v>36.347907999999997</v>
      </c>
      <c r="AG59" cm="1">
        <f t="array" ref="AG59:AG61">I59:I61</f>
        <v>179</v>
      </c>
    </row>
    <row r="60" spans="1:34" x14ac:dyDescent="0.25">
      <c r="A60" t="s">
        <v>126</v>
      </c>
      <c r="B60" t="s">
        <v>1344</v>
      </c>
      <c r="C60" t="s">
        <v>1346</v>
      </c>
      <c r="D60" t="s">
        <v>94</v>
      </c>
      <c r="E60">
        <v>96</v>
      </c>
      <c r="F60" t="s">
        <v>127</v>
      </c>
      <c r="G60" s="2" t="s">
        <v>223</v>
      </c>
      <c r="H60">
        <v>58.732022999999998</v>
      </c>
      <c r="I60">
        <v>285</v>
      </c>
      <c r="J60" t="s">
        <v>1271</v>
      </c>
      <c r="K60" t="s">
        <v>1327</v>
      </c>
      <c r="Q60" t="str">
        <v>f</v>
      </c>
      <c r="Y60">
        <v>58.732022999999998</v>
      </c>
      <c r="AG60">
        <v>285</v>
      </c>
    </row>
    <row r="61" spans="1:34" x14ac:dyDescent="0.25">
      <c r="A61" t="s">
        <v>128</v>
      </c>
      <c r="B61" t="s">
        <v>1344</v>
      </c>
      <c r="C61" t="s">
        <v>1346</v>
      </c>
      <c r="D61" t="s">
        <v>94</v>
      </c>
      <c r="E61">
        <v>96</v>
      </c>
      <c r="F61" t="s">
        <v>129</v>
      </c>
      <c r="G61" s="2" t="s">
        <v>222</v>
      </c>
      <c r="H61">
        <v>54.380074999999998</v>
      </c>
      <c r="I61">
        <v>263</v>
      </c>
      <c r="J61" t="s">
        <v>1271</v>
      </c>
      <c r="K61" t="s">
        <v>1327</v>
      </c>
      <c r="Q61" t="str">
        <v>t</v>
      </c>
      <c r="Y61">
        <v>54.380074999999998</v>
      </c>
      <c r="AG61">
        <v>263</v>
      </c>
    </row>
    <row r="62" spans="1:34" x14ac:dyDescent="0.25">
      <c r="A62" t="s">
        <v>130</v>
      </c>
      <c r="B62" t="s">
        <v>1344</v>
      </c>
      <c r="C62" t="s">
        <v>1346</v>
      </c>
      <c r="D62" t="s">
        <v>94</v>
      </c>
      <c r="E62">
        <v>100</v>
      </c>
      <c r="F62" t="s">
        <v>131</v>
      </c>
      <c r="G62" s="2" t="s">
        <v>223</v>
      </c>
      <c r="H62">
        <v>98.679845</v>
      </c>
      <c r="I62">
        <v>483</v>
      </c>
      <c r="J62" t="s">
        <v>1271</v>
      </c>
      <c r="K62" t="s">
        <v>1327</v>
      </c>
      <c r="R62" t="str" cm="1">
        <f t="array" ref="R62:R64">G62:G64</f>
        <v>f</v>
      </c>
      <c r="Z62" cm="1">
        <f t="array" ref="Z62:Z64">H62:H64</f>
        <v>98.679845</v>
      </c>
      <c r="AH62" cm="1">
        <f t="array" ref="AH62:AH64">I62:I64</f>
        <v>483</v>
      </c>
    </row>
    <row r="63" spans="1:34" x14ac:dyDescent="0.25">
      <c r="A63" t="s">
        <v>132</v>
      </c>
      <c r="B63" t="s">
        <v>1344</v>
      </c>
      <c r="C63" t="s">
        <v>1346</v>
      </c>
      <c r="D63" t="s">
        <v>94</v>
      </c>
      <c r="E63">
        <v>100</v>
      </c>
      <c r="F63" t="s">
        <v>133</v>
      </c>
      <c r="G63" s="2" t="s">
        <v>223</v>
      </c>
      <c r="H63">
        <v>59.298889000000003</v>
      </c>
      <c r="I63">
        <v>287</v>
      </c>
      <c r="J63" t="s">
        <v>1271</v>
      </c>
      <c r="K63" t="s">
        <v>1327</v>
      </c>
      <c r="R63" t="str">
        <v>f</v>
      </c>
      <c r="Z63">
        <v>59.298889000000003</v>
      </c>
      <c r="AH63">
        <v>287</v>
      </c>
    </row>
    <row r="64" spans="1:34" s="3" customFormat="1" x14ac:dyDescent="0.25">
      <c r="A64" s="3" t="s">
        <v>134</v>
      </c>
      <c r="B64" s="3" t="s">
        <v>1344</v>
      </c>
      <c r="C64" s="3" t="s">
        <v>1346</v>
      </c>
      <c r="D64" s="3" t="s">
        <v>94</v>
      </c>
      <c r="E64" s="3">
        <v>100</v>
      </c>
      <c r="F64" s="3" t="s">
        <v>135</v>
      </c>
      <c r="G64" s="4" t="s">
        <v>222</v>
      </c>
      <c r="H64" s="3">
        <v>84.241793999999999</v>
      </c>
      <c r="I64" s="3">
        <v>408</v>
      </c>
      <c r="J64" t="s">
        <v>1271</v>
      </c>
      <c r="K64" s="3" t="s">
        <v>1327</v>
      </c>
      <c r="R64" s="3" t="str">
        <v>t</v>
      </c>
      <c r="Z64" s="3">
        <v>84.241793999999999</v>
      </c>
      <c r="AH64" s="3">
        <v>408</v>
      </c>
    </row>
    <row r="65" spans="1:34" x14ac:dyDescent="0.25">
      <c r="A65" t="s">
        <v>136</v>
      </c>
      <c r="B65" t="s">
        <v>1319</v>
      </c>
      <c r="C65" t="s">
        <v>1345</v>
      </c>
      <c r="D65" t="s">
        <v>137</v>
      </c>
      <c r="E65">
        <v>68</v>
      </c>
      <c r="F65" t="s">
        <v>138</v>
      </c>
      <c r="G65" s="2" t="s">
        <v>223</v>
      </c>
      <c r="H65">
        <v>6.365469</v>
      </c>
      <c r="I65">
        <v>34</v>
      </c>
      <c r="J65" t="s">
        <v>1272</v>
      </c>
      <c r="K65" t="s">
        <v>1327</v>
      </c>
      <c r="L65" s="5" t="str" cm="1">
        <f t="array" ref="L65:L67">G65:G67</f>
        <v>f</v>
      </c>
      <c r="M65" s="5"/>
      <c r="N65" s="5"/>
      <c r="O65" s="5"/>
      <c r="P65" s="5"/>
      <c r="Q65" s="5"/>
      <c r="R65" s="5"/>
      <c r="T65" s="5" cm="1">
        <f t="array" ref="T65:T67">H65:H67</f>
        <v>6.365469</v>
      </c>
      <c r="U65" s="5"/>
      <c r="V65" s="5"/>
      <c r="W65" s="5"/>
      <c r="X65" s="5"/>
      <c r="Y65" s="5"/>
      <c r="Z65" s="5"/>
      <c r="AB65" s="5" cm="1">
        <f t="array" ref="AB65:AB67">I65:I67</f>
        <v>34</v>
      </c>
      <c r="AC65" s="5"/>
      <c r="AD65" s="5"/>
      <c r="AE65" s="5"/>
      <c r="AF65" s="5"/>
      <c r="AG65" s="5"/>
      <c r="AH65" s="5"/>
    </row>
    <row r="66" spans="1:34" x14ac:dyDescent="0.25">
      <c r="A66" t="s">
        <v>139</v>
      </c>
      <c r="B66" t="s">
        <v>1319</v>
      </c>
      <c r="C66" t="s">
        <v>1345</v>
      </c>
      <c r="D66" t="s">
        <v>137</v>
      </c>
      <c r="E66">
        <v>68</v>
      </c>
      <c r="F66" t="s">
        <v>140</v>
      </c>
      <c r="G66" s="2" t="s">
        <v>223</v>
      </c>
      <c r="H66">
        <v>11.470020999999999</v>
      </c>
      <c r="I66">
        <v>56</v>
      </c>
      <c r="J66" t="s">
        <v>1272</v>
      </c>
      <c r="K66" t="s">
        <v>1327</v>
      </c>
      <c r="L66" t="str">
        <v>f</v>
      </c>
      <c r="T66">
        <v>11.470020999999999</v>
      </c>
      <c r="AB66">
        <v>56</v>
      </c>
    </row>
    <row r="67" spans="1:34" x14ac:dyDescent="0.25">
      <c r="A67" t="s">
        <v>141</v>
      </c>
      <c r="B67" t="s">
        <v>1319</v>
      </c>
      <c r="C67" t="s">
        <v>1345</v>
      </c>
      <c r="D67" t="s">
        <v>137</v>
      </c>
      <c r="E67">
        <v>68</v>
      </c>
      <c r="F67" t="s">
        <v>142</v>
      </c>
      <c r="G67" s="2" t="s">
        <v>222</v>
      </c>
      <c r="H67">
        <v>9.5926170000000006</v>
      </c>
      <c r="I67">
        <v>49</v>
      </c>
      <c r="J67" t="s">
        <v>1272</v>
      </c>
      <c r="K67" t="s">
        <v>1327</v>
      </c>
      <c r="L67" t="str">
        <v>t</v>
      </c>
      <c r="T67">
        <v>9.5926170000000006</v>
      </c>
      <c r="AB67">
        <v>49</v>
      </c>
    </row>
    <row r="68" spans="1:34" x14ac:dyDescent="0.25">
      <c r="A68" t="s">
        <v>143</v>
      </c>
      <c r="B68" t="s">
        <v>1319</v>
      </c>
      <c r="C68" t="s">
        <v>1345</v>
      </c>
      <c r="D68" t="s">
        <v>137</v>
      </c>
      <c r="E68">
        <v>78</v>
      </c>
      <c r="F68" t="s">
        <v>144</v>
      </c>
      <c r="G68" s="2" t="s">
        <v>223</v>
      </c>
      <c r="H68">
        <v>46.600855000000003</v>
      </c>
      <c r="I68">
        <v>263</v>
      </c>
      <c r="J68" t="s">
        <v>1272</v>
      </c>
      <c r="K68" t="s">
        <v>1327</v>
      </c>
      <c r="M68" t="str" cm="1">
        <f t="array" ref="M68:M70">G68:G70</f>
        <v>f</v>
      </c>
      <c r="U68" cm="1">
        <f t="array" ref="U68:U70">H68:H70</f>
        <v>46.600855000000003</v>
      </c>
      <c r="AC68" cm="1">
        <f t="array" ref="AC68:AC70">I68:I70</f>
        <v>263</v>
      </c>
    </row>
    <row r="69" spans="1:34" x14ac:dyDescent="0.25">
      <c r="A69" t="s">
        <v>145</v>
      </c>
      <c r="B69" t="s">
        <v>1319</v>
      </c>
      <c r="C69" t="s">
        <v>1345</v>
      </c>
      <c r="D69" t="s">
        <v>137</v>
      </c>
      <c r="E69">
        <v>78</v>
      </c>
      <c r="F69" t="s">
        <v>146</v>
      </c>
      <c r="G69" s="2" t="s">
        <v>222</v>
      </c>
      <c r="H69">
        <v>43.428663</v>
      </c>
      <c r="I69">
        <v>259</v>
      </c>
      <c r="J69" t="s">
        <v>1272</v>
      </c>
      <c r="K69" t="s">
        <v>1327</v>
      </c>
      <c r="M69" t="str">
        <v>t</v>
      </c>
      <c r="U69">
        <v>43.428663</v>
      </c>
      <c r="AC69">
        <v>259</v>
      </c>
    </row>
    <row r="70" spans="1:34" x14ac:dyDescent="0.25">
      <c r="A70" t="s">
        <v>147</v>
      </c>
      <c r="B70" t="s">
        <v>1319</v>
      </c>
      <c r="C70" t="s">
        <v>1345</v>
      </c>
      <c r="D70" t="s">
        <v>137</v>
      </c>
      <c r="E70">
        <v>78</v>
      </c>
      <c r="F70" t="s">
        <v>148</v>
      </c>
      <c r="G70" s="2" t="s">
        <v>223</v>
      </c>
      <c r="H70">
        <v>83.499358000000001</v>
      </c>
      <c r="I70">
        <v>502</v>
      </c>
      <c r="J70" t="s">
        <v>1272</v>
      </c>
      <c r="K70" t="s">
        <v>1327</v>
      </c>
      <c r="M70" t="str">
        <v>f</v>
      </c>
      <c r="U70">
        <v>83.499358000000001</v>
      </c>
      <c r="AC70">
        <v>502</v>
      </c>
    </row>
    <row r="71" spans="1:34" x14ac:dyDescent="0.25">
      <c r="A71" t="s">
        <v>149</v>
      </c>
      <c r="B71" t="s">
        <v>1319</v>
      </c>
      <c r="C71" t="s">
        <v>1345</v>
      </c>
      <c r="D71" t="s">
        <v>137</v>
      </c>
      <c r="E71">
        <v>133</v>
      </c>
      <c r="F71" t="s">
        <v>150</v>
      </c>
      <c r="G71" s="2" t="s">
        <v>222</v>
      </c>
      <c r="H71">
        <v>62.320732999999997</v>
      </c>
      <c r="I71">
        <v>364</v>
      </c>
      <c r="J71" t="s">
        <v>1272</v>
      </c>
      <c r="K71" t="s">
        <v>1327</v>
      </c>
      <c r="N71" t="str" cm="1">
        <f t="array" ref="N71:N73">G71:G73</f>
        <v>t</v>
      </c>
      <c r="V71" cm="1">
        <f t="array" ref="V71:V73">H71:H73</f>
        <v>62.320732999999997</v>
      </c>
      <c r="AD71" cm="1">
        <f t="array" ref="AD71:AD73">I71:I73</f>
        <v>364</v>
      </c>
    </row>
    <row r="72" spans="1:34" x14ac:dyDescent="0.25">
      <c r="A72" t="s">
        <v>151</v>
      </c>
      <c r="B72" t="s">
        <v>1319</v>
      </c>
      <c r="C72" t="s">
        <v>1345</v>
      </c>
      <c r="D72" t="s">
        <v>137</v>
      </c>
      <c r="E72">
        <v>133</v>
      </c>
      <c r="F72" t="s">
        <v>152</v>
      </c>
      <c r="G72" s="2" t="s">
        <v>223</v>
      </c>
      <c r="H72">
        <v>30.008326</v>
      </c>
      <c r="I72">
        <v>169</v>
      </c>
      <c r="J72" t="s">
        <v>1272</v>
      </c>
      <c r="K72" t="s">
        <v>1327</v>
      </c>
      <c r="N72" t="str">
        <v>f</v>
      </c>
      <c r="V72">
        <v>30.008326</v>
      </c>
      <c r="AD72">
        <v>169</v>
      </c>
    </row>
    <row r="73" spans="1:34" x14ac:dyDescent="0.25">
      <c r="A73" t="s">
        <v>153</v>
      </c>
      <c r="B73" t="s">
        <v>1319</v>
      </c>
      <c r="C73" t="s">
        <v>1345</v>
      </c>
      <c r="D73" t="s">
        <v>137</v>
      </c>
      <c r="E73">
        <v>133</v>
      </c>
      <c r="F73" t="s">
        <v>154</v>
      </c>
      <c r="G73" s="2" t="s">
        <v>223</v>
      </c>
      <c r="H73">
        <v>68.280713000000006</v>
      </c>
      <c r="I73">
        <v>358</v>
      </c>
      <c r="J73" t="s">
        <v>1272</v>
      </c>
      <c r="K73" t="s">
        <v>1327</v>
      </c>
      <c r="N73" t="str">
        <v>f</v>
      </c>
      <c r="V73">
        <v>68.280713000000006</v>
      </c>
      <c r="AD73">
        <v>358</v>
      </c>
    </row>
    <row r="74" spans="1:34" x14ac:dyDescent="0.25">
      <c r="A74" t="s">
        <v>155</v>
      </c>
      <c r="B74" t="s">
        <v>1319</v>
      </c>
      <c r="C74" t="s">
        <v>1345</v>
      </c>
      <c r="D74" t="s">
        <v>137</v>
      </c>
      <c r="E74">
        <v>106</v>
      </c>
      <c r="F74" t="s">
        <v>156</v>
      </c>
      <c r="G74" s="2" t="s">
        <v>223</v>
      </c>
      <c r="H74">
        <v>2.5365009999999999</v>
      </c>
      <c r="I74">
        <v>12</v>
      </c>
      <c r="J74" t="s">
        <v>1272</v>
      </c>
      <c r="K74" t="s">
        <v>1327</v>
      </c>
      <c r="O74" t="str" cm="1">
        <f t="array" ref="O74:O76">G74:G76</f>
        <v>f</v>
      </c>
      <c r="W74" cm="1">
        <f t="array" ref="W74:W76">H74:H76</f>
        <v>2.5365009999999999</v>
      </c>
      <c r="AE74" cm="1">
        <f t="array" ref="AE74:AE76">I74:I76</f>
        <v>12</v>
      </c>
    </row>
    <row r="75" spans="1:34" x14ac:dyDescent="0.25">
      <c r="A75" t="s">
        <v>157</v>
      </c>
      <c r="B75" t="s">
        <v>1319</v>
      </c>
      <c r="C75" t="s">
        <v>1345</v>
      </c>
      <c r="D75" t="s">
        <v>137</v>
      </c>
      <c r="E75">
        <v>106</v>
      </c>
      <c r="F75" t="s">
        <v>158</v>
      </c>
      <c r="G75" s="2" t="s">
        <v>223</v>
      </c>
      <c r="H75">
        <v>42.128652000000002</v>
      </c>
      <c r="I75">
        <v>243</v>
      </c>
      <c r="J75" t="s">
        <v>1272</v>
      </c>
      <c r="K75" t="s">
        <v>1327</v>
      </c>
      <c r="O75" t="str">
        <v>f</v>
      </c>
      <c r="W75">
        <v>42.128652000000002</v>
      </c>
      <c r="AE75">
        <v>243</v>
      </c>
    </row>
    <row r="76" spans="1:34" x14ac:dyDescent="0.25">
      <c r="A76" t="s">
        <v>159</v>
      </c>
      <c r="B76" t="s">
        <v>1319</v>
      </c>
      <c r="C76" t="s">
        <v>1345</v>
      </c>
      <c r="D76" t="s">
        <v>137</v>
      </c>
      <c r="E76">
        <v>106</v>
      </c>
      <c r="F76" t="s">
        <v>160</v>
      </c>
      <c r="G76" s="2" t="s">
        <v>223</v>
      </c>
      <c r="H76">
        <v>28.547571999999999</v>
      </c>
      <c r="I76">
        <v>168</v>
      </c>
      <c r="J76" t="s">
        <v>1272</v>
      </c>
      <c r="K76" t="s">
        <v>1327</v>
      </c>
      <c r="O76" t="str">
        <v>f</v>
      </c>
      <c r="W76">
        <v>28.547571999999999</v>
      </c>
      <c r="AE76">
        <v>168</v>
      </c>
    </row>
    <row r="77" spans="1:34" x14ac:dyDescent="0.25">
      <c r="A77" s="1" t="s">
        <v>161</v>
      </c>
      <c r="B77" t="s">
        <v>1319</v>
      </c>
      <c r="C77" t="s">
        <v>1345</v>
      </c>
      <c r="D77" t="s">
        <v>137</v>
      </c>
      <c r="E77">
        <v>104</v>
      </c>
      <c r="F77" t="s">
        <v>162</v>
      </c>
      <c r="G77" s="2" t="s">
        <v>223</v>
      </c>
      <c r="H77">
        <v>40.979419</v>
      </c>
      <c r="I77">
        <v>235</v>
      </c>
      <c r="J77" t="s">
        <v>1272</v>
      </c>
      <c r="K77" t="s">
        <v>1327</v>
      </c>
      <c r="P77" t="str" cm="1">
        <f t="array" ref="P77:P79">G77:G79</f>
        <v>f</v>
      </c>
      <c r="X77" cm="1">
        <f t="array" ref="X77:X79">H77:H79</f>
        <v>40.979419</v>
      </c>
      <c r="AF77" cm="1">
        <f t="array" ref="AF77:AF79">I77:I79</f>
        <v>235</v>
      </c>
    </row>
    <row r="78" spans="1:34" x14ac:dyDescent="0.25">
      <c r="A78" s="1" t="s">
        <v>163</v>
      </c>
      <c r="B78" t="s">
        <v>1319</v>
      </c>
      <c r="C78" t="s">
        <v>1345</v>
      </c>
      <c r="D78" t="s">
        <v>137</v>
      </c>
      <c r="E78">
        <v>104</v>
      </c>
      <c r="F78" t="s">
        <v>164</v>
      </c>
      <c r="G78" s="2" t="s">
        <v>223</v>
      </c>
      <c r="H78">
        <v>29.877465999999998</v>
      </c>
      <c r="I78">
        <v>178</v>
      </c>
      <c r="J78" t="s">
        <v>1272</v>
      </c>
      <c r="K78" t="s">
        <v>1327</v>
      </c>
      <c r="P78" t="str">
        <v>f</v>
      </c>
      <c r="X78">
        <v>29.877465999999998</v>
      </c>
      <c r="AF78">
        <v>178</v>
      </c>
    </row>
    <row r="79" spans="1:34" x14ac:dyDescent="0.25">
      <c r="A79" s="1" t="s">
        <v>165</v>
      </c>
      <c r="B79" t="s">
        <v>1319</v>
      </c>
      <c r="C79" t="s">
        <v>1345</v>
      </c>
      <c r="D79" t="s">
        <v>137</v>
      </c>
      <c r="E79">
        <v>104</v>
      </c>
      <c r="F79" t="s">
        <v>166</v>
      </c>
      <c r="G79" s="2" t="s">
        <v>223</v>
      </c>
      <c r="H79">
        <v>36.815328999999998</v>
      </c>
      <c r="I79">
        <v>200</v>
      </c>
      <c r="J79" t="s">
        <v>1272</v>
      </c>
      <c r="K79" t="s">
        <v>1327</v>
      </c>
      <c r="P79" t="str">
        <v>f</v>
      </c>
      <c r="X79">
        <v>36.815328999999998</v>
      </c>
      <c r="AF79">
        <v>200</v>
      </c>
    </row>
    <row r="80" spans="1:34" x14ac:dyDescent="0.25">
      <c r="A80" t="s">
        <v>167</v>
      </c>
      <c r="B80" t="s">
        <v>1319</v>
      </c>
      <c r="C80" t="s">
        <v>1345</v>
      </c>
      <c r="D80" t="s">
        <v>137</v>
      </c>
      <c r="E80">
        <v>105</v>
      </c>
      <c r="F80" t="s">
        <v>168</v>
      </c>
      <c r="G80" s="2" t="s">
        <v>222</v>
      </c>
      <c r="H80">
        <v>56.450467000000003</v>
      </c>
      <c r="I80">
        <v>295</v>
      </c>
      <c r="J80" t="s">
        <v>1272</v>
      </c>
      <c r="K80" t="s">
        <v>1327</v>
      </c>
      <c r="Q80" t="str" cm="1">
        <f t="array" ref="Q80:Q82">G80:G82</f>
        <v>t</v>
      </c>
      <c r="Y80" cm="1">
        <f t="array" ref="Y80:Y82">H80:H82</f>
        <v>56.450467000000003</v>
      </c>
      <c r="AG80" cm="1">
        <f t="array" ref="AG80:AG82">I80:I82</f>
        <v>295</v>
      </c>
    </row>
    <row r="81" spans="1:34" x14ac:dyDescent="0.25">
      <c r="A81" t="s">
        <v>169</v>
      </c>
      <c r="B81" t="s">
        <v>1319</v>
      </c>
      <c r="C81" t="s">
        <v>1345</v>
      </c>
      <c r="D81" t="s">
        <v>137</v>
      </c>
      <c r="E81">
        <v>105</v>
      </c>
      <c r="F81" t="s">
        <v>170</v>
      </c>
      <c r="G81" s="2" t="s">
        <v>222</v>
      </c>
      <c r="H81">
        <v>71.026114000000007</v>
      </c>
      <c r="I81">
        <v>343</v>
      </c>
      <c r="J81" t="s">
        <v>1272</v>
      </c>
      <c r="K81" t="s">
        <v>1327</v>
      </c>
      <c r="Q81" t="str">
        <v>t</v>
      </c>
      <c r="Y81">
        <v>71.026114000000007</v>
      </c>
      <c r="AG81">
        <v>343</v>
      </c>
    </row>
    <row r="82" spans="1:34" x14ac:dyDescent="0.25">
      <c r="A82" t="s">
        <v>171</v>
      </c>
      <c r="B82" t="s">
        <v>1319</v>
      </c>
      <c r="C82" t="s">
        <v>1345</v>
      </c>
      <c r="D82" t="s">
        <v>137</v>
      </c>
      <c r="E82">
        <v>105</v>
      </c>
      <c r="F82" t="s">
        <v>172</v>
      </c>
      <c r="G82" s="2" t="s">
        <v>223</v>
      </c>
      <c r="H82">
        <v>47.806384000000001</v>
      </c>
      <c r="I82">
        <v>241</v>
      </c>
      <c r="J82" t="s">
        <v>1272</v>
      </c>
      <c r="K82" t="s">
        <v>1327</v>
      </c>
      <c r="Q82" t="str">
        <v>f</v>
      </c>
      <c r="Y82">
        <v>47.806384000000001</v>
      </c>
      <c r="AG82">
        <v>241</v>
      </c>
    </row>
    <row r="83" spans="1:34" x14ac:dyDescent="0.25">
      <c r="A83" t="s">
        <v>173</v>
      </c>
      <c r="B83" t="s">
        <v>1319</v>
      </c>
      <c r="C83" t="s">
        <v>1345</v>
      </c>
      <c r="D83" t="s">
        <v>137</v>
      </c>
      <c r="E83">
        <v>109</v>
      </c>
      <c r="F83" t="s">
        <v>174</v>
      </c>
      <c r="G83" s="2" t="s">
        <v>222</v>
      </c>
      <c r="H83">
        <v>57.703626999999997</v>
      </c>
      <c r="I83">
        <v>316</v>
      </c>
      <c r="J83" t="s">
        <v>1272</v>
      </c>
      <c r="K83" t="s">
        <v>1327</v>
      </c>
      <c r="R83" t="str" cm="1">
        <f t="array" ref="R83:R85">G83:G85</f>
        <v>t</v>
      </c>
      <c r="Z83" cm="1">
        <f t="array" ref="Z83:Z85">H83:H85</f>
        <v>57.703626999999997</v>
      </c>
      <c r="AH83" cm="1">
        <f t="array" ref="AH83:AH85">I83:I85</f>
        <v>316</v>
      </c>
    </row>
    <row r="84" spans="1:34" x14ac:dyDescent="0.25">
      <c r="A84" t="s">
        <v>175</v>
      </c>
      <c r="B84" t="s">
        <v>1319</v>
      </c>
      <c r="C84" t="s">
        <v>1345</v>
      </c>
      <c r="D84" t="s">
        <v>137</v>
      </c>
      <c r="E84">
        <v>109</v>
      </c>
      <c r="F84" t="s">
        <v>176</v>
      </c>
      <c r="G84" s="2" t="s">
        <v>223</v>
      </c>
      <c r="H84">
        <v>77.061580000000006</v>
      </c>
      <c r="I84">
        <v>380</v>
      </c>
      <c r="J84" t="s">
        <v>1272</v>
      </c>
      <c r="K84" t="s">
        <v>1327</v>
      </c>
      <c r="R84" t="str">
        <v>f</v>
      </c>
      <c r="Z84">
        <v>77.061580000000006</v>
      </c>
      <c r="AH84">
        <v>380</v>
      </c>
    </row>
    <row r="85" spans="1:34" s="3" customFormat="1" x14ac:dyDescent="0.25">
      <c r="A85" s="3" t="s">
        <v>177</v>
      </c>
      <c r="B85" t="s">
        <v>1319</v>
      </c>
      <c r="C85" t="s">
        <v>1345</v>
      </c>
      <c r="D85" s="3" t="s">
        <v>137</v>
      </c>
      <c r="E85" s="3">
        <v>109</v>
      </c>
      <c r="F85" s="3" t="s">
        <v>178</v>
      </c>
      <c r="G85" s="4" t="s">
        <v>223</v>
      </c>
      <c r="H85" s="3">
        <v>100.501569</v>
      </c>
      <c r="I85" s="3">
        <v>502</v>
      </c>
      <c r="J85" s="3" t="s">
        <v>1272</v>
      </c>
      <c r="K85" s="3" t="s">
        <v>1327</v>
      </c>
      <c r="R85" s="3" t="str">
        <v>f</v>
      </c>
      <c r="Z85" s="3">
        <v>100.501569</v>
      </c>
      <c r="AH85" s="3">
        <v>502</v>
      </c>
    </row>
    <row r="86" spans="1:34" x14ac:dyDescent="0.25">
      <c r="A86" t="s">
        <v>179</v>
      </c>
      <c r="B86" t="s">
        <v>1344</v>
      </c>
      <c r="C86" t="s">
        <v>1345</v>
      </c>
      <c r="D86" t="s">
        <v>180</v>
      </c>
      <c r="E86">
        <v>62</v>
      </c>
      <c r="F86" t="s">
        <v>181</v>
      </c>
      <c r="G86" s="2" t="s">
        <v>222</v>
      </c>
      <c r="H86">
        <v>6.1789449999999997</v>
      </c>
      <c r="I86">
        <v>36</v>
      </c>
      <c r="J86" t="s">
        <v>1273</v>
      </c>
      <c r="K86" t="s">
        <v>1327</v>
      </c>
      <c r="L86" s="5" t="str" cm="1">
        <f t="array" ref="L86:L88">G86:G88</f>
        <v>t</v>
      </c>
      <c r="M86" s="5"/>
      <c r="N86" s="5"/>
      <c r="O86" s="5"/>
      <c r="P86" s="5"/>
      <c r="Q86" s="5"/>
      <c r="R86" s="5"/>
      <c r="T86" s="5" cm="1">
        <f t="array" ref="T86:T88">H86:H88</f>
        <v>6.1789449999999997</v>
      </c>
      <c r="U86" s="5"/>
      <c r="V86" s="5"/>
      <c r="W86" s="5"/>
      <c r="X86" s="5"/>
      <c r="Y86" s="5"/>
      <c r="Z86" s="5"/>
      <c r="AB86" s="5" cm="1">
        <f t="array" ref="AB86:AB88">I86:I88</f>
        <v>36</v>
      </c>
      <c r="AC86" s="5"/>
      <c r="AD86" s="5"/>
      <c r="AE86" s="5"/>
      <c r="AF86" s="5"/>
      <c r="AG86" s="5"/>
      <c r="AH86" s="5"/>
    </row>
    <row r="87" spans="1:34" x14ac:dyDescent="0.25">
      <c r="A87" t="s">
        <v>182</v>
      </c>
      <c r="B87" t="s">
        <v>1344</v>
      </c>
      <c r="C87" t="s">
        <v>1345</v>
      </c>
      <c r="D87" t="s">
        <v>180</v>
      </c>
      <c r="E87">
        <v>62</v>
      </c>
      <c r="F87" t="s">
        <v>183</v>
      </c>
      <c r="G87" s="2" t="s">
        <v>222</v>
      </c>
      <c r="H87">
        <v>6.233962</v>
      </c>
      <c r="I87">
        <v>34</v>
      </c>
      <c r="J87" t="s">
        <v>1273</v>
      </c>
      <c r="K87" t="s">
        <v>1327</v>
      </c>
      <c r="L87" t="str">
        <v>t</v>
      </c>
      <c r="T87">
        <v>6.233962</v>
      </c>
      <c r="AB87">
        <v>34</v>
      </c>
    </row>
    <row r="88" spans="1:34" x14ac:dyDescent="0.25">
      <c r="A88" t="s">
        <v>184</v>
      </c>
      <c r="B88" t="s">
        <v>1344</v>
      </c>
      <c r="C88" t="s">
        <v>1345</v>
      </c>
      <c r="D88" t="s">
        <v>180</v>
      </c>
      <c r="E88">
        <v>62</v>
      </c>
      <c r="F88" t="s">
        <v>185</v>
      </c>
      <c r="G88" s="2" t="s">
        <v>223</v>
      </c>
      <c r="H88">
        <v>3.1413229999999999</v>
      </c>
      <c r="I88">
        <v>17</v>
      </c>
      <c r="J88" t="s">
        <v>1273</v>
      </c>
      <c r="K88" t="s">
        <v>1327</v>
      </c>
      <c r="L88" t="str">
        <v>f</v>
      </c>
      <c r="T88">
        <v>3.1413229999999999</v>
      </c>
      <c r="AB88">
        <v>17</v>
      </c>
    </row>
    <row r="89" spans="1:34" x14ac:dyDescent="0.25">
      <c r="A89" t="s">
        <v>186</v>
      </c>
      <c r="B89" t="s">
        <v>1344</v>
      </c>
      <c r="C89" t="s">
        <v>1345</v>
      </c>
      <c r="D89" t="s">
        <v>180</v>
      </c>
      <c r="E89">
        <v>72</v>
      </c>
      <c r="F89" t="s">
        <v>187</v>
      </c>
      <c r="G89" s="2" t="s">
        <v>222</v>
      </c>
      <c r="H89">
        <v>41.464139000000003</v>
      </c>
      <c r="I89">
        <v>216</v>
      </c>
      <c r="J89" t="s">
        <v>1273</v>
      </c>
      <c r="K89" t="s">
        <v>1327</v>
      </c>
      <c r="M89" t="str" cm="1">
        <f t="array" ref="M89:M91">G89:G91</f>
        <v>t</v>
      </c>
      <c r="U89" cm="1">
        <f t="array" ref="U89:U91">H89:H91</f>
        <v>41.464139000000003</v>
      </c>
      <c r="AC89" cm="1">
        <f t="array" ref="AC89:AC91">I89:I91</f>
        <v>216</v>
      </c>
    </row>
    <row r="90" spans="1:34" x14ac:dyDescent="0.25">
      <c r="A90" t="s">
        <v>188</v>
      </c>
      <c r="B90" t="s">
        <v>1344</v>
      </c>
      <c r="C90" t="s">
        <v>1345</v>
      </c>
      <c r="D90" t="s">
        <v>180</v>
      </c>
      <c r="E90">
        <v>72</v>
      </c>
      <c r="F90" t="s">
        <v>189</v>
      </c>
      <c r="G90" s="2" t="s">
        <v>223</v>
      </c>
      <c r="H90">
        <v>88.815842000000004</v>
      </c>
      <c r="I90">
        <v>455</v>
      </c>
      <c r="J90" t="s">
        <v>1273</v>
      </c>
      <c r="K90" t="s">
        <v>1327</v>
      </c>
      <c r="M90" t="str">
        <v>f</v>
      </c>
      <c r="U90">
        <v>88.815842000000004</v>
      </c>
      <c r="AC90">
        <v>455</v>
      </c>
    </row>
    <row r="91" spans="1:34" x14ac:dyDescent="0.25">
      <c r="A91" t="s">
        <v>190</v>
      </c>
      <c r="B91" t="s">
        <v>1344</v>
      </c>
      <c r="C91" t="s">
        <v>1345</v>
      </c>
      <c r="D91" t="s">
        <v>180</v>
      </c>
      <c r="E91">
        <v>72</v>
      </c>
      <c r="F91" t="s">
        <v>191</v>
      </c>
      <c r="G91" s="2" t="s">
        <v>222</v>
      </c>
      <c r="H91">
        <v>85.792440999999997</v>
      </c>
      <c r="I91">
        <v>436</v>
      </c>
      <c r="J91" t="s">
        <v>1273</v>
      </c>
      <c r="K91" t="s">
        <v>1327</v>
      </c>
      <c r="M91" t="str">
        <v>t</v>
      </c>
      <c r="U91">
        <v>85.792440999999997</v>
      </c>
      <c r="AC91">
        <v>436</v>
      </c>
    </row>
    <row r="92" spans="1:34" x14ac:dyDescent="0.25">
      <c r="A92" t="s">
        <v>192</v>
      </c>
      <c r="B92" t="s">
        <v>1344</v>
      </c>
      <c r="C92" t="s">
        <v>1345</v>
      </c>
      <c r="D92" t="s">
        <v>180</v>
      </c>
      <c r="E92">
        <v>127</v>
      </c>
      <c r="F92" t="s">
        <v>193</v>
      </c>
      <c r="G92" s="2" t="s">
        <v>222</v>
      </c>
      <c r="H92">
        <v>48.681089</v>
      </c>
      <c r="I92">
        <v>272</v>
      </c>
      <c r="J92" t="s">
        <v>1273</v>
      </c>
      <c r="K92" t="s">
        <v>1327</v>
      </c>
      <c r="N92" t="str" cm="1">
        <f t="array" ref="N92:N94">G92:G94</f>
        <v>t</v>
      </c>
      <c r="V92" cm="1">
        <f t="array" ref="V92:V94">H92:H94</f>
        <v>48.681089</v>
      </c>
      <c r="AD92" cm="1">
        <f t="array" ref="AD92:AD94">I92:I94</f>
        <v>272</v>
      </c>
    </row>
    <row r="93" spans="1:34" x14ac:dyDescent="0.25">
      <c r="A93" t="s">
        <v>194</v>
      </c>
      <c r="B93" t="s">
        <v>1344</v>
      </c>
      <c r="C93" t="s">
        <v>1345</v>
      </c>
      <c r="D93" t="s">
        <v>180</v>
      </c>
      <c r="E93">
        <v>127</v>
      </c>
      <c r="F93" t="s">
        <v>195</v>
      </c>
      <c r="G93" s="2" t="s">
        <v>222</v>
      </c>
      <c r="H93">
        <v>51.597718</v>
      </c>
      <c r="I93">
        <v>296</v>
      </c>
      <c r="J93" t="s">
        <v>1273</v>
      </c>
      <c r="K93" t="s">
        <v>1327</v>
      </c>
      <c r="N93" t="str">
        <v>t</v>
      </c>
      <c r="V93">
        <v>51.597718</v>
      </c>
      <c r="AD93">
        <v>296</v>
      </c>
    </row>
    <row r="94" spans="1:34" x14ac:dyDescent="0.25">
      <c r="A94" t="s">
        <v>196</v>
      </c>
      <c r="B94" t="s">
        <v>1344</v>
      </c>
      <c r="C94" t="s">
        <v>1345</v>
      </c>
      <c r="D94" t="s">
        <v>180</v>
      </c>
      <c r="E94">
        <v>127</v>
      </c>
      <c r="F94" t="s">
        <v>197</v>
      </c>
      <c r="G94" s="2" t="s">
        <v>222</v>
      </c>
      <c r="H94">
        <v>53.055613999999998</v>
      </c>
      <c r="I94">
        <v>305</v>
      </c>
      <c r="J94" t="s">
        <v>1273</v>
      </c>
      <c r="K94" t="s">
        <v>1327</v>
      </c>
      <c r="N94" t="str">
        <v>t</v>
      </c>
      <c r="V94">
        <v>53.055613999999998</v>
      </c>
      <c r="AD94">
        <v>305</v>
      </c>
    </row>
    <row r="95" spans="1:34" x14ac:dyDescent="0.25">
      <c r="A95" t="s">
        <v>198</v>
      </c>
      <c r="B95" t="s">
        <v>1344</v>
      </c>
      <c r="C95" t="s">
        <v>1345</v>
      </c>
      <c r="D95" t="s">
        <v>180</v>
      </c>
      <c r="E95">
        <v>100</v>
      </c>
      <c r="F95" t="s">
        <v>199</v>
      </c>
      <c r="G95" s="2" t="s">
        <v>223</v>
      </c>
      <c r="H95">
        <v>35.755997000000001</v>
      </c>
      <c r="I95">
        <v>207</v>
      </c>
      <c r="J95" t="s">
        <v>1273</v>
      </c>
      <c r="K95" t="s">
        <v>1327</v>
      </c>
      <c r="O95" t="str" cm="1">
        <f t="array" ref="O95:O97">G95:G97</f>
        <v>f</v>
      </c>
      <c r="W95" cm="1">
        <f t="array" ref="W95:W97">H95:H97</f>
        <v>35.755997000000001</v>
      </c>
      <c r="AE95" cm="1">
        <f t="array" ref="AE95:AE97">I95:I97</f>
        <v>207</v>
      </c>
    </row>
    <row r="96" spans="1:34" x14ac:dyDescent="0.25">
      <c r="A96" t="s">
        <v>200</v>
      </c>
      <c r="B96" t="s">
        <v>1344</v>
      </c>
      <c r="C96" t="s">
        <v>1345</v>
      </c>
      <c r="D96" t="s">
        <v>180</v>
      </c>
      <c r="E96">
        <v>100</v>
      </c>
      <c r="F96" t="s">
        <v>201</v>
      </c>
      <c r="G96" s="2" t="s">
        <v>223</v>
      </c>
      <c r="H96">
        <v>45.842970000000001</v>
      </c>
      <c r="I96">
        <v>248</v>
      </c>
      <c r="J96" t="s">
        <v>1273</v>
      </c>
      <c r="K96" t="s">
        <v>1327</v>
      </c>
      <c r="O96" t="str">
        <v>f</v>
      </c>
      <c r="W96">
        <v>45.842970000000001</v>
      </c>
      <c r="AE96">
        <v>248</v>
      </c>
    </row>
    <row r="97" spans="1:34" x14ac:dyDescent="0.25">
      <c r="A97" t="s">
        <v>202</v>
      </c>
      <c r="B97" t="s">
        <v>1344</v>
      </c>
      <c r="C97" t="s">
        <v>1345</v>
      </c>
      <c r="D97" t="s">
        <v>180</v>
      </c>
      <c r="E97">
        <v>100</v>
      </c>
      <c r="F97" t="s">
        <v>203</v>
      </c>
      <c r="G97" s="2" t="s">
        <v>222</v>
      </c>
      <c r="H97">
        <v>37.326749999999997</v>
      </c>
      <c r="I97">
        <v>218</v>
      </c>
      <c r="J97" t="s">
        <v>1273</v>
      </c>
      <c r="K97" t="s">
        <v>1327</v>
      </c>
      <c r="O97" t="str">
        <v>t</v>
      </c>
      <c r="W97">
        <v>37.326749999999997</v>
      </c>
      <c r="AE97">
        <v>218</v>
      </c>
    </row>
    <row r="98" spans="1:34" x14ac:dyDescent="0.25">
      <c r="A98" s="1" t="s">
        <v>204</v>
      </c>
      <c r="B98" t="s">
        <v>1344</v>
      </c>
      <c r="C98" t="s">
        <v>1345</v>
      </c>
      <c r="D98" t="s">
        <v>180</v>
      </c>
      <c r="E98">
        <v>98</v>
      </c>
      <c r="F98" t="s">
        <v>205</v>
      </c>
      <c r="G98" s="2" t="s">
        <v>223</v>
      </c>
      <c r="H98">
        <v>25.136599</v>
      </c>
      <c r="I98">
        <v>146</v>
      </c>
      <c r="J98" t="s">
        <v>1273</v>
      </c>
      <c r="K98" t="s">
        <v>1327</v>
      </c>
      <c r="P98" t="str" cm="1">
        <f t="array" ref="P98:P100">G98:G100</f>
        <v>f</v>
      </c>
      <c r="X98" cm="1">
        <f t="array" ref="X98:X100">H98:H100</f>
        <v>25.136599</v>
      </c>
      <c r="AF98" cm="1">
        <f t="array" ref="AF98:AF100">I98:I100</f>
        <v>146</v>
      </c>
    </row>
    <row r="99" spans="1:34" x14ac:dyDescent="0.25">
      <c r="A99" s="1" t="s">
        <v>206</v>
      </c>
      <c r="B99" t="s">
        <v>1344</v>
      </c>
      <c r="C99" t="s">
        <v>1345</v>
      </c>
      <c r="D99" t="s">
        <v>180</v>
      </c>
      <c r="E99">
        <v>98</v>
      </c>
      <c r="F99" t="s">
        <v>207</v>
      </c>
      <c r="G99" s="2" t="s">
        <v>222</v>
      </c>
      <c r="H99">
        <v>23.821801000000001</v>
      </c>
      <c r="I99">
        <v>127</v>
      </c>
      <c r="J99" t="s">
        <v>1273</v>
      </c>
      <c r="K99" t="s">
        <v>1327</v>
      </c>
      <c r="P99" t="str">
        <v>t</v>
      </c>
      <c r="X99">
        <v>23.821801000000001</v>
      </c>
      <c r="AF99">
        <v>127</v>
      </c>
    </row>
    <row r="100" spans="1:34" x14ac:dyDescent="0.25">
      <c r="A100" s="1" t="s">
        <v>208</v>
      </c>
      <c r="B100" t="s">
        <v>1344</v>
      </c>
      <c r="C100" t="s">
        <v>1345</v>
      </c>
      <c r="D100" t="s">
        <v>180</v>
      </c>
      <c r="E100">
        <v>98</v>
      </c>
      <c r="F100" t="s">
        <v>209</v>
      </c>
      <c r="G100" s="2" t="s">
        <v>222</v>
      </c>
      <c r="H100">
        <v>44.788530000000002</v>
      </c>
      <c r="I100">
        <v>234</v>
      </c>
      <c r="J100" t="s">
        <v>1273</v>
      </c>
      <c r="K100" t="s">
        <v>1327</v>
      </c>
      <c r="P100" t="str">
        <v>t</v>
      </c>
      <c r="X100">
        <v>44.788530000000002</v>
      </c>
      <c r="AF100">
        <v>234</v>
      </c>
    </row>
    <row r="101" spans="1:34" x14ac:dyDescent="0.25">
      <c r="A101" t="s">
        <v>210</v>
      </c>
      <c r="B101" t="s">
        <v>1344</v>
      </c>
      <c r="C101" t="s">
        <v>1345</v>
      </c>
      <c r="D101" t="s">
        <v>180</v>
      </c>
      <c r="E101">
        <v>99</v>
      </c>
      <c r="F101" t="s">
        <v>211</v>
      </c>
      <c r="G101" s="2" t="s">
        <v>222</v>
      </c>
      <c r="H101">
        <v>52.230764000000001</v>
      </c>
      <c r="I101">
        <v>266</v>
      </c>
      <c r="J101" t="s">
        <v>1273</v>
      </c>
      <c r="K101" t="s">
        <v>1327</v>
      </c>
      <c r="Q101" t="str" cm="1">
        <f t="array" ref="Q101:Q103">G101:G103</f>
        <v>t</v>
      </c>
      <c r="Y101" cm="1">
        <f t="array" ref="Y101:Y103">H101:H103</f>
        <v>52.230764000000001</v>
      </c>
      <c r="AG101" cm="1">
        <f t="array" ref="AG101:AG103">I101:I103</f>
        <v>266</v>
      </c>
    </row>
    <row r="102" spans="1:34" x14ac:dyDescent="0.25">
      <c r="A102" t="s">
        <v>212</v>
      </c>
      <c r="B102" t="s">
        <v>1344</v>
      </c>
      <c r="C102" t="s">
        <v>1345</v>
      </c>
      <c r="D102" t="s">
        <v>180</v>
      </c>
      <c r="E102">
        <v>99</v>
      </c>
      <c r="F102" t="s">
        <v>213</v>
      </c>
      <c r="G102" s="2" t="s">
        <v>222</v>
      </c>
      <c r="H102">
        <v>48.848298</v>
      </c>
      <c r="I102">
        <v>255</v>
      </c>
      <c r="J102" t="s">
        <v>1273</v>
      </c>
      <c r="K102" t="s">
        <v>1327</v>
      </c>
      <c r="Q102" t="str">
        <v>t</v>
      </c>
      <c r="Y102">
        <v>48.848298</v>
      </c>
      <c r="AG102">
        <v>255</v>
      </c>
    </row>
    <row r="103" spans="1:34" x14ac:dyDescent="0.25">
      <c r="A103" t="s">
        <v>214</v>
      </c>
      <c r="B103" t="s">
        <v>1344</v>
      </c>
      <c r="C103" t="s">
        <v>1345</v>
      </c>
      <c r="D103" t="s">
        <v>180</v>
      </c>
      <c r="E103">
        <v>99</v>
      </c>
      <c r="F103" t="s">
        <v>215</v>
      </c>
      <c r="G103" s="2" t="s">
        <v>223</v>
      </c>
      <c r="H103">
        <v>40.943333000000003</v>
      </c>
      <c r="I103">
        <v>220</v>
      </c>
      <c r="J103" t="s">
        <v>1273</v>
      </c>
      <c r="K103" t="s">
        <v>1327</v>
      </c>
      <c r="Q103" t="str">
        <v>f</v>
      </c>
      <c r="Y103">
        <v>40.943333000000003</v>
      </c>
      <c r="AG103">
        <v>220</v>
      </c>
    </row>
    <row r="104" spans="1:34" x14ac:dyDescent="0.25">
      <c r="A104" t="s">
        <v>216</v>
      </c>
      <c r="B104" t="s">
        <v>1344</v>
      </c>
      <c r="C104" t="s">
        <v>1345</v>
      </c>
      <c r="D104" t="s">
        <v>180</v>
      </c>
      <c r="E104">
        <v>103</v>
      </c>
      <c r="F104" t="s">
        <v>217</v>
      </c>
      <c r="G104" s="2" t="s">
        <v>223</v>
      </c>
      <c r="H104">
        <v>46.791195999999999</v>
      </c>
      <c r="I104">
        <v>246</v>
      </c>
      <c r="J104" t="s">
        <v>1273</v>
      </c>
      <c r="K104" t="s">
        <v>1327</v>
      </c>
      <c r="R104" t="str" cm="1">
        <f t="array" ref="R104:R106">G104:G106</f>
        <v>f</v>
      </c>
      <c r="Z104" cm="1">
        <f t="array" ref="Z104:Z106">H104:H106</f>
        <v>46.791195999999999</v>
      </c>
      <c r="AH104" cm="1">
        <f t="array" ref="AH104:AH106">I104:I106</f>
        <v>246</v>
      </c>
    </row>
    <row r="105" spans="1:34" x14ac:dyDescent="0.25">
      <c r="A105" t="s">
        <v>218</v>
      </c>
      <c r="B105" t="s">
        <v>1344</v>
      </c>
      <c r="C105" t="s">
        <v>1345</v>
      </c>
      <c r="D105" t="s">
        <v>180</v>
      </c>
      <c r="E105">
        <v>103</v>
      </c>
      <c r="F105" t="s">
        <v>219</v>
      </c>
      <c r="G105" s="2" t="s">
        <v>223</v>
      </c>
      <c r="H105">
        <v>25.690245999999998</v>
      </c>
      <c r="I105">
        <v>134</v>
      </c>
      <c r="J105" t="s">
        <v>1273</v>
      </c>
      <c r="K105" t="s">
        <v>1327</v>
      </c>
      <c r="R105" t="str">
        <v>f</v>
      </c>
      <c r="Z105">
        <v>25.690245999999998</v>
      </c>
      <c r="AH105">
        <v>134</v>
      </c>
    </row>
    <row r="106" spans="1:34" s="3" customFormat="1" x14ac:dyDescent="0.25">
      <c r="A106" s="3" t="s">
        <v>220</v>
      </c>
      <c r="B106" t="s">
        <v>1344</v>
      </c>
      <c r="C106" t="s">
        <v>1345</v>
      </c>
      <c r="D106" s="3" t="s">
        <v>180</v>
      </c>
      <c r="E106" s="3">
        <v>103</v>
      </c>
      <c r="F106" s="3" t="s">
        <v>221</v>
      </c>
      <c r="G106" s="4" t="s">
        <v>222</v>
      </c>
      <c r="H106" s="3">
        <v>40.808377999999998</v>
      </c>
      <c r="I106" s="3">
        <v>199</v>
      </c>
      <c r="J106" s="3" t="s">
        <v>1273</v>
      </c>
      <c r="K106" s="3" t="s">
        <v>1327</v>
      </c>
      <c r="R106" s="3" t="str">
        <v>t</v>
      </c>
      <c r="Z106" s="3">
        <v>40.808377999999998</v>
      </c>
      <c r="AH106" s="3">
        <v>199</v>
      </c>
    </row>
    <row r="107" spans="1:34" s="5" customFormat="1" x14ac:dyDescent="0.25">
      <c r="A107" s="5" t="s">
        <v>224</v>
      </c>
      <c r="B107" s="5" t="s">
        <v>1319</v>
      </c>
      <c r="C107" s="5" t="s">
        <v>1345</v>
      </c>
      <c r="D107" s="5" t="s">
        <v>225</v>
      </c>
      <c r="E107" s="5">
        <v>53</v>
      </c>
      <c r="F107" s="5" t="s">
        <v>226</v>
      </c>
      <c r="G107" s="6" t="s">
        <v>223</v>
      </c>
      <c r="H107" s="5">
        <v>12.449382999999999</v>
      </c>
      <c r="I107" s="5">
        <v>76</v>
      </c>
      <c r="J107" s="5" t="s">
        <v>1274</v>
      </c>
      <c r="K107" s="5" t="s">
        <v>1327</v>
      </c>
      <c r="L107" s="5" t="str" cm="1">
        <f t="array" ref="L107:L109">G107:G109</f>
        <v>f</v>
      </c>
      <c r="T107" s="5" cm="1">
        <f t="array" ref="T107:T109">H107:H109</f>
        <v>12.449382999999999</v>
      </c>
      <c r="AB107" s="5" cm="1">
        <f t="array" ref="AB107:AB109">I107:I109</f>
        <v>76</v>
      </c>
    </row>
    <row r="108" spans="1:34" x14ac:dyDescent="0.25">
      <c r="A108" t="s">
        <v>227</v>
      </c>
      <c r="B108" s="5" t="s">
        <v>1319</v>
      </c>
      <c r="C108" s="5" t="s">
        <v>1345</v>
      </c>
      <c r="D108" t="s">
        <v>225</v>
      </c>
      <c r="E108">
        <v>53</v>
      </c>
      <c r="F108" t="s">
        <v>228</v>
      </c>
      <c r="G108" s="2" t="s">
        <v>223</v>
      </c>
      <c r="H108">
        <v>11.296156</v>
      </c>
      <c r="I108">
        <v>70</v>
      </c>
      <c r="J108" t="s">
        <v>1274</v>
      </c>
      <c r="K108" t="s">
        <v>1327</v>
      </c>
      <c r="L108" t="str">
        <v>f</v>
      </c>
      <c r="T108">
        <v>11.296156</v>
      </c>
      <c r="AB108">
        <v>70</v>
      </c>
    </row>
    <row r="109" spans="1:34" x14ac:dyDescent="0.25">
      <c r="A109" t="s">
        <v>229</v>
      </c>
      <c r="B109" s="5" t="s">
        <v>1319</v>
      </c>
      <c r="C109" s="5" t="s">
        <v>1345</v>
      </c>
      <c r="D109" t="s">
        <v>225</v>
      </c>
      <c r="E109">
        <v>53</v>
      </c>
      <c r="F109" t="s">
        <v>230</v>
      </c>
      <c r="G109" s="2" t="s">
        <v>223</v>
      </c>
      <c r="H109">
        <v>9.5850950000000008</v>
      </c>
      <c r="I109">
        <v>58</v>
      </c>
      <c r="J109" t="s">
        <v>1274</v>
      </c>
      <c r="K109" t="s">
        <v>1327</v>
      </c>
      <c r="L109" t="str">
        <v>f</v>
      </c>
      <c r="T109">
        <v>9.5850950000000008</v>
      </c>
      <c r="AB109">
        <v>58</v>
      </c>
    </row>
    <row r="110" spans="1:34" x14ac:dyDescent="0.25">
      <c r="A110" t="s">
        <v>231</v>
      </c>
      <c r="B110" s="5" t="s">
        <v>1319</v>
      </c>
      <c r="C110" s="5" t="s">
        <v>1345</v>
      </c>
      <c r="D110" t="s">
        <v>225</v>
      </c>
      <c r="E110">
        <v>63</v>
      </c>
      <c r="F110" t="s">
        <v>232</v>
      </c>
      <c r="G110" s="2" t="s">
        <v>223</v>
      </c>
      <c r="H110">
        <v>51.322344000000001</v>
      </c>
      <c r="I110">
        <v>261</v>
      </c>
      <c r="J110" t="s">
        <v>1274</v>
      </c>
      <c r="K110" t="s">
        <v>1327</v>
      </c>
      <c r="M110" t="str" cm="1">
        <f t="array" ref="M110:M112">G110:G112</f>
        <v>f</v>
      </c>
      <c r="U110" cm="1">
        <f t="array" ref="U110:U112">H110:H112</f>
        <v>51.322344000000001</v>
      </c>
      <c r="AC110" cm="1">
        <f t="array" ref="AC110:AC112">I110:I112</f>
        <v>261</v>
      </c>
    </row>
    <row r="111" spans="1:34" x14ac:dyDescent="0.25">
      <c r="A111" t="s">
        <v>233</v>
      </c>
      <c r="B111" s="5" t="s">
        <v>1319</v>
      </c>
      <c r="C111" s="5" t="s">
        <v>1345</v>
      </c>
      <c r="D111" t="s">
        <v>225</v>
      </c>
      <c r="E111">
        <v>63</v>
      </c>
      <c r="F111" t="s">
        <v>234</v>
      </c>
      <c r="G111" s="2" t="s">
        <v>222</v>
      </c>
      <c r="H111">
        <v>40.215195999999999</v>
      </c>
      <c r="I111">
        <v>201</v>
      </c>
      <c r="J111" t="s">
        <v>1274</v>
      </c>
      <c r="K111" t="s">
        <v>1327</v>
      </c>
      <c r="M111" t="str">
        <v>t</v>
      </c>
      <c r="U111">
        <v>40.215195999999999</v>
      </c>
      <c r="AC111">
        <v>201</v>
      </c>
    </row>
    <row r="112" spans="1:34" x14ac:dyDescent="0.25">
      <c r="A112" t="s">
        <v>235</v>
      </c>
      <c r="B112" s="5" t="s">
        <v>1319</v>
      </c>
      <c r="C112" s="5" t="s">
        <v>1345</v>
      </c>
      <c r="D112" t="s">
        <v>225</v>
      </c>
      <c r="E112">
        <v>63</v>
      </c>
      <c r="F112" t="s">
        <v>236</v>
      </c>
      <c r="G112" s="2" t="s">
        <v>223</v>
      </c>
      <c r="H112">
        <v>61.124217999999999</v>
      </c>
      <c r="I112">
        <v>309</v>
      </c>
      <c r="J112" t="s">
        <v>1274</v>
      </c>
      <c r="K112" t="s">
        <v>1327</v>
      </c>
      <c r="M112" t="str">
        <v>f</v>
      </c>
      <c r="U112">
        <v>61.124217999999999</v>
      </c>
      <c r="AC112">
        <v>309</v>
      </c>
    </row>
    <row r="113" spans="1:34" x14ac:dyDescent="0.25">
      <c r="A113" t="s">
        <v>237</v>
      </c>
      <c r="B113" s="5" t="s">
        <v>1319</v>
      </c>
      <c r="C113" s="5" t="s">
        <v>1345</v>
      </c>
      <c r="D113" t="s">
        <v>225</v>
      </c>
      <c r="E113">
        <v>118</v>
      </c>
      <c r="F113" t="s">
        <v>238</v>
      </c>
      <c r="G113" s="2" t="s">
        <v>223</v>
      </c>
      <c r="H113">
        <v>51.792293000000001</v>
      </c>
      <c r="I113">
        <v>282</v>
      </c>
      <c r="J113" t="s">
        <v>1274</v>
      </c>
      <c r="K113" t="s">
        <v>1327</v>
      </c>
      <c r="N113" t="str" cm="1">
        <f t="array" ref="N113:N115">G113:G115</f>
        <v>f</v>
      </c>
      <c r="V113" cm="1">
        <f t="array" ref="V113:V115">H113:H115</f>
        <v>51.792293000000001</v>
      </c>
      <c r="AD113" cm="1">
        <f t="array" ref="AD113:AD115">I113:I115</f>
        <v>282</v>
      </c>
    </row>
    <row r="114" spans="1:34" x14ac:dyDescent="0.25">
      <c r="A114" t="s">
        <v>239</v>
      </c>
      <c r="B114" s="5" t="s">
        <v>1319</v>
      </c>
      <c r="C114" s="5" t="s">
        <v>1345</v>
      </c>
      <c r="D114" t="s">
        <v>225</v>
      </c>
      <c r="E114">
        <v>118</v>
      </c>
      <c r="F114" t="s">
        <v>240</v>
      </c>
      <c r="G114" s="2" t="s">
        <v>222</v>
      </c>
      <c r="H114">
        <v>34.609965000000003</v>
      </c>
      <c r="I114">
        <v>195</v>
      </c>
      <c r="J114" t="s">
        <v>1274</v>
      </c>
      <c r="K114" t="s">
        <v>1327</v>
      </c>
      <c r="N114" t="str">
        <v>t</v>
      </c>
      <c r="V114">
        <v>34.609965000000003</v>
      </c>
      <c r="AD114">
        <v>195</v>
      </c>
    </row>
    <row r="115" spans="1:34" x14ac:dyDescent="0.25">
      <c r="A115" t="s">
        <v>241</v>
      </c>
      <c r="B115" s="5" t="s">
        <v>1319</v>
      </c>
      <c r="C115" s="5" t="s">
        <v>1345</v>
      </c>
      <c r="D115" t="s">
        <v>225</v>
      </c>
      <c r="E115">
        <v>118</v>
      </c>
      <c r="F115" t="s">
        <v>242</v>
      </c>
      <c r="G115" s="2" t="s">
        <v>223</v>
      </c>
      <c r="H115">
        <v>49.313369000000002</v>
      </c>
      <c r="I115">
        <v>272</v>
      </c>
      <c r="J115" t="s">
        <v>1274</v>
      </c>
      <c r="K115" t="s">
        <v>1327</v>
      </c>
      <c r="N115" t="str">
        <v>f</v>
      </c>
      <c r="V115">
        <v>49.313369000000002</v>
      </c>
      <c r="AD115">
        <v>272</v>
      </c>
    </row>
    <row r="116" spans="1:34" x14ac:dyDescent="0.25">
      <c r="A116" t="s">
        <v>243</v>
      </c>
      <c r="B116" s="5" t="s">
        <v>1319</v>
      </c>
      <c r="C116" s="5" t="s">
        <v>1345</v>
      </c>
      <c r="D116" t="s">
        <v>225</v>
      </c>
      <c r="E116">
        <v>91</v>
      </c>
      <c r="F116" t="s">
        <v>244</v>
      </c>
      <c r="G116" s="2" t="s">
        <v>223</v>
      </c>
      <c r="H116">
        <v>24.194645999999999</v>
      </c>
      <c r="I116">
        <v>131</v>
      </c>
      <c r="J116" t="s">
        <v>1274</v>
      </c>
      <c r="K116" t="s">
        <v>1327</v>
      </c>
      <c r="O116" t="str" cm="1">
        <f t="array" ref="O116:O118">G116:G118</f>
        <v>f</v>
      </c>
      <c r="W116" cm="1">
        <f t="array" ref="W116:W118">H116:H118</f>
        <v>24.194645999999999</v>
      </c>
      <c r="AE116" cm="1">
        <f t="array" ref="AE116:AE118">I116:I118</f>
        <v>131</v>
      </c>
    </row>
    <row r="117" spans="1:34" x14ac:dyDescent="0.25">
      <c r="A117" t="s">
        <v>245</v>
      </c>
      <c r="B117" s="5" t="s">
        <v>1319</v>
      </c>
      <c r="C117" s="5" t="s">
        <v>1345</v>
      </c>
      <c r="D117" t="s">
        <v>225</v>
      </c>
      <c r="E117">
        <v>91</v>
      </c>
      <c r="F117" t="s">
        <v>246</v>
      </c>
      <c r="G117" s="2" t="s">
        <v>222</v>
      </c>
      <c r="H117">
        <v>26.945668000000001</v>
      </c>
      <c r="I117">
        <v>139</v>
      </c>
      <c r="J117" t="s">
        <v>1274</v>
      </c>
      <c r="K117" t="s">
        <v>1327</v>
      </c>
      <c r="O117" t="str">
        <v>t</v>
      </c>
      <c r="W117">
        <v>26.945668000000001</v>
      </c>
      <c r="AE117">
        <v>139</v>
      </c>
    </row>
    <row r="118" spans="1:34" x14ac:dyDescent="0.25">
      <c r="A118" t="s">
        <v>247</v>
      </c>
      <c r="B118" s="5" t="s">
        <v>1319</v>
      </c>
      <c r="C118" s="5" t="s">
        <v>1345</v>
      </c>
      <c r="D118" t="s">
        <v>225</v>
      </c>
      <c r="E118">
        <v>91</v>
      </c>
      <c r="F118" t="s">
        <v>248</v>
      </c>
      <c r="G118" s="2" t="s">
        <v>222</v>
      </c>
      <c r="H118">
        <v>19.030552</v>
      </c>
      <c r="I118">
        <v>98</v>
      </c>
      <c r="J118" t="s">
        <v>1274</v>
      </c>
      <c r="K118" t="s">
        <v>1327</v>
      </c>
      <c r="O118" t="str">
        <v>t</v>
      </c>
      <c r="W118">
        <v>19.030552</v>
      </c>
      <c r="AE118">
        <v>98</v>
      </c>
    </row>
    <row r="119" spans="1:34" x14ac:dyDescent="0.25">
      <c r="A119" s="1" t="s">
        <v>249</v>
      </c>
      <c r="B119" s="5" t="s">
        <v>1319</v>
      </c>
      <c r="C119" s="5" t="s">
        <v>1345</v>
      </c>
      <c r="D119" t="s">
        <v>225</v>
      </c>
      <c r="E119">
        <v>89</v>
      </c>
      <c r="F119" t="s">
        <v>250</v>
      </c>
      <c r="G119" s="2" t="s">
        <v>223</v>
      </c>
      <c r="H119">
        <v>29.637947</v>
      </c>
      <c r="I119">
        <v>158</v>
      </c>
      <c r="J119" t="s">
        <v>1274</v>
      </c>
      <c r="K119" t="s">
        <v>1327</v>
      </c>
      <c r="P119" t="str" cm="1">
        <f t="array" ref="P119:P121">G119:G121</f>
        <v>f</v>
      </c>
      <c r="X119" cm="1">
        <f t="array" ref="X119:X121">H119:H121</f>
        <v>29.637947</v>
      </c>
      <c r="AF119" cm="1">
        <f t="array" ref="AF119:AF121">I119:I121</f>
        <v>158</v>
      </c>
    </row>
    <row r="120" spans="1:34" x14ac:dyDescent="0.25">
      <c r="A120" s="1" t="s">
        <v>251</v>
      </c>
      <c r="B120" s="5" t="s">
        <v>1319</v>
      </c>
      <c r="C120" s="5" t="s">
        <v>1345</v>
      </c>
      <c r="D120" t="s">
        <v>225</v>
      </c>
      <c r="E120">
        <v>89</v>
      </c>
      <c r="F120" t="s">
        <v>252</v>
      </c>
      <c r="G120" s="2" t="s">
        <v>222</v>
      </c>
      <c r="H120">
        <v>25.414985999999999</v>
      </c>
      <c r="I120">
        <v>131</v>
      </c>
      <c r="J120" t="s">
        <v>1274</v>
      </c>
      <c r="K120" t="s">
        <v>1327</v>
      </c>
      <c r="P120" t="str">
        <v>t</v>
      </c>
      <c r="X120">
        <v>25.414985999999999</v>
      </c>
      <c r="AF120">
        <v>131</v>
      </c>
    </row>
    <row r="121" spans="1:34" x14ac:dyDescent="0.25">
      <c r="A121" s="1" t="s">
        <v>253</v>
      </c>
      <c r="B121" s="5" t="s">
        <v>1319</v>
      </c>
      <c r="C121" s="5" t="s">
        <v>1345</v>
      </c>
      <c r="D121" t="s">
        <v>225</v>
      </c>
      <c r="E121">
        <v>89</v>
      </c>
      <c r="F121" t="s">
        <v>254</v>
      </c>
      <c r="G121" s="2" t="s">
        <v>223</v>
      </c>
      <c r="H121">
        <v>23.517817000000001</v>
      </c>
      <c r="I121">
        <v>123</v>
      </c>
      <c r="J121" t="s">
        <v>1274</v>
      </c>
      <c r="K121" t="s">
        <v>1327</v>
      </c>
      <c r="P121" t="str">
        <v>f</v>
      </c>
      <c r="X121">
        <v>23.517817000000001</v>
      </c>
      <c r="AF121">
        <v>123</v>
      </c>
    </row>
    <row r="122" spans="1:34" x14ac:dyDescent="0.25">
      <c r="A122" t="s">
        <v>255</v>
      </c>
      <c r="B122" s="5" t="s">
        <v>1319</v>
      </c>
      <c r="C122" s="5" t="s">
        <v>1345</v>
      </c>
      <c r="D122" t="s">
        <v>225</v>
      </c>
      <c r="E122">
        <v>90</v>
      </c>
      <c r="F122" t="s">
        <v>256</v>
      </c>
      <c r="G122" s="2" t="s">
        <v>222</v>
      </c>
      <c r="H122">
        <v>41.761602000000003</v>
      </c>
      <c r="I122">
        <v>209</v>
      </c>
      <c r="J122" t="s">
        <v>1274</v>
      </c>
      <c r="K122" t="s">
        <v>1327</v>
      </c>
      <c r="Q122" t="str" cm="1">
        <f t="array" ref="Q122:Q124">G122:G124</f>
        <v>t</v>
      </c>
      <c r="Y122" cm="1">
        <f t="array" ref="Y122:Y124">H122:H124</f>
        <v>41.761602000000003</v>
      </c>
      <c r="AG122" cm="1">
        <f t="array" ref="AG122:AG124">I122:I124</f>
        <v>209</v>
      </c>
    </row>
    <row r="123" spans="1:34" x14ac:dyDescent="0.25">
      <c r="A123" t="s">
        <v>257</v>
      </c>
      <c r="B123" s="5" t="s">
        <v>1319</v>
      </c>
      <c r="C123" s="5" t="s">
        <v>1345</v>
      </c>
      <c r="D123" t="s">
        <v>225</v>
      </c>
      <c r="E123">
        <v>90</v>
      </c>
      <c r="F123" t="s">
        <v>258</v>
      </c>
      <c r="G123" s="2" t="s">
        <v>222</v>
      </c>
      <c r="H123">
        <v>31.539870000000001</v>
      </c>
      <c r="I123">
        <v>155</v>
      </c>
      <c r="J123" t="s">
        <v>1274</v>
      </c>
      <c r="K123" t="s">
        <v>1327</v>
      </c>
      <c r="Q123" t="str">
        <v>t</v>
      </c>
      <c r="Y123">
        <v>31.539870000000001</v>
      </c>
      <c r="AG123">
        <v>155</v>
      </c>
    </row>
    <row r="124" spans="1:34" x14ac:dyDescent="0.25">
      <c r="A124" t="s">
        <v>259</v>
      </c>
      <c r="B124" s="5" t="s">
        <v>1319</v>
      </c>
      <c r="C124" s="5" t="s">
        <v>1345</v>
      </c>
      <c r="D124" t="s">
        <v>225</v>
      </c>
      <c r="E124">
        <v>90</v>
      </c>
      <c r="F124" t="s">
        <v>260</v>
      </c>
      <c r="G124" s="2" t="s">
        <v>223</v>
      </c>
      <c r="H124">
        <v>62.057429999999997</v>
      </c>
      <c r="I124">
        <v>299</v>
      </c>
      <c r="J124" t="s">
        <v>1274</v>
      </c>
      <c r="K124" t="s">
        <v>1327</v>
      </c>
      <c r="Q124" t="str">
        <v>f</v>
      </c>
      <c r="Y124">
        <v>62.057429999999997</v>
      </c>
      <c r="AG124">
        <v>299</v>
      </c>
    </row>
    <row r="125" spans="1:34" x14ac:dyDescent="0.25">
      <c r="A125" t="s">
        <v>261</v>
      </c>
      <c r="B125" s="5" t="s">
        <v>1319</v>
      </c>
      <c r="C125" s="5" t="s">
        <v>1345</v>
      </c>
      <c r="D125" t="s">
        <v>225</v>
      </c>
      <c r="E125">
        <v>94</v>
      </c>
      <c r="F125" t="s">
        <v>262</v>
      </c>
      <c r="G125" s="2" t="s">
        <v>222</v>
      </c>
      <c r="H125">
        <v>79.440357000000006</v>
      </c>
      <c r="I125">
        <v>391</v>
      </c>
      <c r="J125" t="s">
        <v>1274</v>
      </c>
      <c r="K125" t="s">
        <v>1327</v>
      </c>
      <c r="R125" t="str" cm="1">
        <f t="array" ref="R125:R127">G125:G127</f>
        <v>t</v>
      </c>
      <c r="Z125" cm="1">
        <f t="array" ref="Z125:Z127">H125:H127</f>
        <v>79.440357000000006</v>
      </c>
      <c r="AH125" cm="1">
        <f t="array" ref="AH125:AH127">I125:I127</f>
        <v>391</v>
      </c>
    </row>
    <row r="126" spans="1:34" x14ac:dyDescent="0.25">
      <c r="A126" t="s">
        <v>263</v>
      </c>
      <c r="B126" s="5" t="s">
        <v>1319</v>
      </c>
      <c r="C126" s="5" t="s">
        <v>1345</v>
      </c>
      <c r="D126" t="s">
        <v>225</v>
      </c>
      <c r="E126">
        <v>94</v>
      </c>
      <c r="F126" t="s">
        <v>264</v>
      </c>
      <c r="G126" s="2" t="s">
        <v>223</v>
      </c>
      <c r="H126">
        <v>69.886313999999999</v>
      </c>
      <c r="I126">
        <v>342</v>
      </c>
      <c r="J126" t="s">
        <v>1274</v>
      </c>
      <c r="K126" t="s">
        <v>1327</v>
      </c>
      <c r="R126" t="str">
        <v>f</v>
      </c>
      <c r="Z126">
        <v>69.886313999999999</v>
      </c>
      <c r="AH126">
        <v>342</v>
      </c>
    </row>
    <row r="127" spans="1:34" s="3" customFormat="1" x14ac:dyDescent="0.25">
      <c r="A127" s="3" t="s">
        <v>265</v>
      </c>
      <c r="B127" s="5" t="s">
        <v>1319</v>
      </c>
      <c r="C127" s="5" t="s">
        <v>1345</v>
      </c>
      <c r="D127" s="3" t="s">
        <v>225</v>
      </c>
      <c r="E127" s="3">
        <v>94</v>
      </c>
      <c r="F127" s="3" t="s">
        <v>266</v>
      </c>
      <c r="G127" s="4" t="s">
        <v>223</v>
      </c>
      <c r="H127" s="3">
        <v>40.241655999999999</v>
      </c>
      <c r="I127" s="3">
        <v>197</v>
      </c>
      <c r="J127" s="3" t="s">
        <v>1274</v>
      </c>
      <c r="K127" s="3" t="s">
        <v>1327</v>
      </c>
      <c r="R127" s="3" t="str">
        <v>f</v>
      </c>
      <c r="Z127" s="3">
        <v>40.241655999999999</v>
      </c>
      <c r="AH127" s="3">
        <v>197</v>
      </c>
    </row>
    <row r="128" spans="1:34" s="5" customFormat="1" x14ac:dyDescent="0.25">
      <c r="A128" s="5" t="s">
        <v>267</v>
      </c>
      <c r="B128" s="5" t="s">
        <v>1319</v>
      </c>
      <c r="C128" s="5" t="s">
        <v>1345</v>
      </c>
      <c r="D128" s="5" t="s">
        <v>268</v>
      </c>
      <c r="E128" s="5">
        <v>68</v>
      </c>
      <c r="F128" s="5" t="s">
        <v>269</v>
      </c>
      <c r="G128" s="6" t="s">
        <v>222</v>
      </c>
      <c r="H128" s="5">
        <v>13.807266</v>
      </c>
      <c r="I128" s="5">
        <v>71</v>
      </c>
      <c r="J128" s="5" t="s">
        <v>1275</v>
      </c>
      <c r="K128" s="5" t="s">
        <v>1327</v>
      </c>
      <c r="L128" s="5" t="str" cm="1">
        <f t="array" ref="L128:L130">G128:G130</f>
        <v>t</v>
      </c>
      <c r="T128" s="5" cm="1">
        <f t="array" ref="T128:T130">H128:H130</f>
        <v>13.807266</v>
      </c>
      <c r="AB128" s="5" cm="1">
        <f t="array" ref="AB128:AB130">I128:I130</f>
        <v>71</v>
      </c>
    </row>
    <row r="129" spans="1:33" x14ac:dyDescent="0.25">
      <c r="A129" t="s">
        <v>270</v>
      </c>
      <c r="B129" s="5" t="s">
        <v>1319</v>
      </c>
      <c r="C129" s="5" t="s">
        <v>1345</v>
      </c>
      <c r="D129" t="s">
        <v>268</v>
      </c>
      <c r="E129">
        <v>68</v>
      </c>
      <c r="F129" t="s">
        <v>271</v>
      </c>
      <c r="G129" s="2" t="s">
        <v>223</v>
      </c>
      <c r="H129">
        <v>15.647857999999999</v>
      </c>
      <c r="I129">
        <v>78</v>
      </c>
      <c r="J129" t="s">
        <v>1275</v>
      </c>
      <c r="K129" t="s">
        <v>1327</v>
      </c>
      <c r="L129" t="str">
        <v>f</v>
      </c>
      <c r="T129">
        <v>15.647857999999999</v>
      </c>
      <c r="AB129">
        <v>78</v>
      </c>
    </row>
    <row r="130" spans="1:33" x14ac:dyDescent="0.25">
      <c r="A130" t="s">
        <v>272</v>
      </c>
      <c r="B130" s="5" t="s">
        <v>1319</v>
      </c>
      <c r="C130" s="5" t="s">
        <v>1345</v>
      </c>
      <c r="D130" t="s">
        <v>268</v>
      </c>
      <c r="E130">
        <v>68</v>
      </c>
      <c r="F130" t="s">
        <v>273</v>
      </c>
      <c r="G130" s="2" t="s">
        <v>222</v>
      </c>
      <c r="H130">
        <v>11.450100000000001</v>
      </c>
      <c r="I130">
        <v>57</v>
      </c>
      <c r="J130" t="s">
        <v>1275</v>
      </c>
      <c r="K130" t="s">
        <v>1327</v>
      </c>
      <c r="L130" t="str">
        <v>t</v>
      </c>
      <c r="T130">
        <v>11.450100000000001</v>
      </c>
      <c r="AB130">
        <v>57</v>
      </c>
    </row>
    <row r="131" spans="1:33" x14ac:dyDescent="0.25">
      <c r="A131" t="s">
        <v>274</v>
      </c>
      <c r="B131" s="5" t="s">
        <v>1319</v>
      </c>
      <c r="C131" s="5" t="s">
        <v>1345</v>
      </c>
      <c r="D131" t="s">
        <v>268</v>
      </c>
      <c r="E131">
        <v>78</v>
      </c>
      <c r="F131" t="s">
        <v>275</v>
      </c>
      <c r="G131" s="2" t="s">
        <v>223</v>
      </c>
      <c r="H131">
        <v>75.835463000000004</v>
      </c>
      <c r="I131">
        <v>367</v>
      </c>
      <c r="J131" t="s">
        <v>1275</v>
      </c>
      <c r="K131" t="s">
        <v>1327</v>
      </c>
      <c r="M131" t="str" cm="1">
        <f t="array" ref="M131:M133">G131:G133</f>
        <v>f</v>
      </c>
      <c r="U131" cm="1">
        <f t="array" ref="U131:U133">H131:H133</f>
        <v>75.835463000000004</v>
      </c>
      <c r="AC131" cm="1">
        <f t="array" ref="AC131:AC133">I131:I133</f>
        <v>367</v>
      </c>
    </row>
    <row r="132" spans="1:33" x14ac:dyDescent="0.25">
      <c r="A132" t="s">
        <v>276</v>
      </c>
      <c r="B132" s="5" t="s">
        <v>1319</v>
      </c>
      <c r="C132" s="5" t="s">
        <v>1345</v>
      </c>
      <c r="D132" t="s">
        <v>268</v>
      </c>
      <c r="E132">
        <v>78</v>
      </c>
      <c r="F132" t="s">
        <v>277</v>
      </c>
      <c r="G132" s="2" t="s">
        <v>222</v>
      </c>
      <c r="H132">
        <v>54.618658000000003</v>
      </c>
      <c r="I132">
        <v>267</v>
      </c>
      <c r="J132" t="s">
        <v>1275</v>
      </c>
      <c r="K132" t="s">
        <v>1327</v>
      </c>
      <c r="M132" t="str">
        <v>t</v>
      </c>
      <c r="U132">
        <v>54.618658000000003</v>
      </c>
      <c r="AC132">
        <v>267</v>
      </c>
    </row>
    <row r="133" spans="1:33" x14ac:dyDescent="0.25">
      <c r="A133" t="s">
        <v>278</v>
      </c>
      <c r="B133" s="5" t="s">
        <v>1319</v>
      </c>
      <c r="C133" s="5" t="s">
        <v>1345</v>
      </c>
      <c r="D133" t="s">
        <v>268</v>
      </c>
      <c r="E133">
        <v>78</v>
      </c>
      <c r="F133" t="s">
        <v>279</v>
      </c>
      <c r="G133" s="2" t="s">
        <v>222</v>
      </c>
      <c r="H133">
        <v>69.11627</v>
      </c>
      <c r="I133">
        <v>362</v>
      </c>
      <c r="J133" t="s">
        <v>1275</v>
      </c>
      <c r="K133" t="s">
        <v>1327</v>
      </c>
      <c r="M133" t="str">
        <v>t</v>
      </c>
      <c r="U133">
        <v>69.11627</v>
      </c>
      <c r="AC133">
        <v>362</v>
      </c>
    </row>
    <row r="134" spans="1:33" x14ac:dyDescent="0.25">
      <c r="A134" t="s">
        <v>280</v>
      </c>
      <c r="B134" s="5" t="s">
        <v>1319</v>
      </c>
      <c r="C134" s="5" t="s">
        <v>1345</v>
      </c>
      <c r="D134" t="s">
        <v>268</v>
      </c>
      <c r="E134">
        <v>133</v>
      </c>
      <c r="F134" t="s">
        <v>281</v>
      </c>
      <c r="G134" s="2" t="s">
        <v>222</v>
      </c>
      <c r="H134">
        <v>55.26296</v>
      </c>
      <c r="I134">
        <v>283</v>
      </c>
      <c r="J134" t="s">
        <v>1275</v>
      </c>
      <c r="K134" t="s">
        <v>1327</v>
      </c>
      <c r="N134" t="str" cm="1">
        <f t="array" ref="N134:N136">G134:G136</f>
        <v>t</v>
      </c>
      <c r="V134" cm="1">
        <f t="array" ref="V134:V136">H134:H136</f>
        <v>55.26296</v>
      </c>
      <c r="AD134" cm="1">
        <f t="array" ref="AD134:AD136">I134:I136</f>
        <v>283</v>
      </c>
    </row>
    <row r="135" spans="1:33" x14ac:dyDescent="0.25">
      <c r="A135" t="s">
        <v>282</v>
      </c>
      <c r="B135" s="5" t="s">
        <v>1319</v>
      </c>
      <c r="C135" s="5" t="s">
        <v>1345</v>
      </c>
      <c r="D135" t="s">
        <v>268</v>
      </c>
      <c r="E135">
        <v>133</v>
      </c>
      <c r="F135" t="s">
        <v>283</v>
      </c>
      <c r="G135" s="2" t="s">
        <v>222</v>
      </c>
      <c r="H135">
        <v>37.081950999999997</v>
      </c>
      <c r="I135">
        <v>202</v>
      </c>
      <c r="J135" t="s">
        <v>1275</v>
      </c>
      <c r="K135" t="s">
        <v>1327</v>
      </c>
      <c r="N135" t="str">
        <v>t</v>
      </c>
      <c r="V135">
        <v>37.081950999999997</v>
      </c>
      <c r="AD135">
        <v>202</v>
      </c>
    </row>
    <row r="136" spans="1:33" x14ac:dyDescent="0.25">
      <c r="A136" t="s">
        <v>284</v>
      </c>
      <c r="B136" s="5" t="s">
        <v>1319</v>
      </c>
      <c r="C136" s="5" t="s">
        <v>1345</v>
      </c>
      <c r="D136" t="s">
        <v>268</v>
      </c>
      <c r="E136">
        <v>133</v>
      </c>
      <c r="F136" t="s">
        <v>285</v>
      </c>
      <c r="G136" s="2" t="s">
        <v>222</v>
      </c>
      <c r="H136">
        <v>38.330939999999998</v>
      </c>
      <c r="I136">
        <v>196</v>
      </c>
      <c r="J136" t="s">
        <v>1275</v>
      </c>
      <c r="K136" t="s">
        <v>1327</v>
      </c>
      <c r="N136" t="str">
        <v>t</v>
      </c>
      <c r="V136">
        <v>38.330939999999998</v>
      </c>
      <c r="AD136">
        <v>196</v>
      </c>
    </row>
    <row r="137" spans="1:33" x14ac:dyDescent="0.25">
      <c r="A137" t="s">
        <v>286</v>
      </c>
      <c r="B137" s="5" t="s">
        <v>1319</v>
      </c>
      <c r="C137" s="5" t="s">
        <v>1345</v>
      </c>
      <c r="D137" t="s">
        <v>268</v>
      </c>
      <c r="E137">
        <v>106</v>
      </c>
      <c r="F137" t="s">
        <v>287</v>
      </c>
      <c r="G137" s="2" t="s">
        <v>223</v>
      </c>
      <c r="H137">
        <v>45.890915</v>
      </c>
      <c r="I137">
        <v>238</v>
      </c>
      <c r="J137" t="s">
        <v>1275</v>
      </c>
      <c r="K137" t="s">
        <v>1327</v>
      </c>
      <c r="O137" t="str" cm="1">
        <f t="array" ref="O137:O139">G137:G139</f>
        <v>f</v>
      </c>
      <c r="W137" cm="1">
        <f t="array" ref="W137:W139">H137:H139</f>
        <v>45.890915</v>
      </c>
      <c r="AE137" cm="1">
        <f t="array" ref="AE137:AE139">I137:I139</f>
        <v>238</v>
      </c>
    </row>
    <row r="138" spans="1:33" x14ac:dyDescent="0.25">
      <c r="A138" t="s">
        <v>288</v>
      </c>
      <c r="B138" s="5" t="s">
        <v>1319</v>
      </c>
      <c r="C138" s="5" t="s">
        <v>1345</v>
      </c>
      <c r="D138" t="s">
        <v>268</v>
      </c>
      <c r="E138">
        <v>106</v>
      </c>
      <c r="F138" t="s">
        <v>289</v>
      </c>
      <c r="G138" s="2" t="s">
        <v>223</v>
      </c>
      <c r="H138">
        <v>16.694006999999999</v>
      </c>
      <c r="I138">
        <v>87</v>
      </c>
      <c r="J138" t="s">
        <v>1275</v>
      </c>
      <c r="K138" t="s">
        <v>1327</v>
      </c>
      <c r="O138" t="str">
        <v>f</v>
      </c>
      <c r="W138">
        <v>16.694006999999999</v>
      </c>
      <c r="AE138">
        <v>87</v>
      </c>
    </row>
    <row r="139" spans="1:33" x14ac:dyDescent="0.25">
      <c r="A139" t="s">
        <v>290</v>
      </c>
      <c r="B139" s="5" t="s">
        <v>1319</v>
      </c>
      <c r="C139" s="5" t="s">
        <v>1345</v>
      </c>
      <c r="D139" t="s">
        <v>268</v>
      </c>
      <c r="E139">
        <v>106</v>
      </c>
      <c r="F139" t="s">
        <v>291</v>
      </c>
      <c r="G139" s="2" t="s">
        <v>223</v>
      </c>
      <c r="H139">
        <v>16.619491</v>
      </c>
      <c r="I139">
        <v>90</v>
      </c>
      <c r="J139" t="s">
        <v>1275</v>
      </c>
      <c r="K139" t="s">
        <v>1327</v>
      </c>
      <c r="O139" t="str">
        <v>f</v>
      </c>
      <c r="W139">
        <v>16.619491</v>
      </c>
      <c r="AE139">
        <v>90</v>
      </c>
    </row>
    <row r="140" spans="1:33" x14ac:dyDescent="0.25">
      <c r="A140" s="1" t="s">
        <v>292</v>
      </c>
      <c r="B140" s="5" t="s">
        <v>1319</v>
      </c>
      <c r="C140" s="5" t="s">
        <v>1345</v>
      </c>
      <c r="D140" t="s">
        <v>268</v>
      </c>
      <c r="E140">
        <v>104</v>
      </c>
      <c r="F140" t="s">
        <v>293</v>
      </c>
      <c r="G140" s="2" t="s">
        <v>223</v>
      </c>
      <c r="H140">
        <v>50.997348000000002</v>
      </c>
      <c r="I140">
        <v>262</v>
      </c>
      <c r="J140" t="s">
        <v>1275</v>
      </c>
      <c r="K140" t="s">
        <v>1327</v>
      </c>
      <c r="P140" t="str" cm="1">
        <f t="array" ref="P140:P142">G140:G142</f>
        <v>f</v>
      </c>
      <c r="X140" cm="1">
        <f t="array" ref="X140:X142">H140:H142</f>
        <v>50.997348000000002</v>
      </c>
      <c r="AF140" cm="1">
        <f t="array" ref="AF140:AF142">I140:I142</f>
        <v>262</v>
      </c>
    </row>
    <row r="141" spans="1:33" x14ac:dyDescent="0.25">
      <c r="A141" s="1" t="s">
        <v>294</v>
      </c>
      <c r="B141" s="5" t="s">
        <v>1319</v>
      </c>
      <c r="C141" s="5" t="s">
        <v>1345</v>
      </c>
      <c r="D141" t="s">
        <v>268</v>
      </c>
      <c r="E141">
        <v>104</v>
      </c>
      <c r="F141" t="s">
        <v>295</v>
      </c>
      <c r="G141" s="2" t="s">
        <v>222</v>
      </c>
      <c r="H141">
        <v>27.436136999999999</v>
      </c>
      <c r="I141">
        <v>151</v>
      </c>
      <c r="J141" t="s">
        <v>1275</v>
      </c>
      <c r="K141" t="s">
        <v>1327</v>
      </c>
      <c r="P141" t="str">
        <v>t</v>
      </c>
      <c r="X141">
        <v>27.436136999999999</v>
      </c>
      <c r="AF141">
        <v>151</v>
      </c>
    </row>
    <row r="142" spans="1:33" x14ac:dyDescent="0.25">
      <c r="A142" s="1" t="s">
        <v>296</v>
      </c>
      <c r="B142" s="5" t="s">
        <v>1319</v>
      </c>
      <c r="C142" s="5" t="s">
        <v>1345</v>
      </c>
      <c r="D142" t="s">
        <v>268</v>
      </c>
      <c r="E142">
        <v>104</v>
      </c>
      <c r="F142" t="s">
        <v>297</v>
      </c>
      <c r="G142" s="2" t="s">
        <v>223</v>
      </c>
      <c r="H142">
        <v>28.238942999999999</v>
      </c>
      <c r="I142">
        <v>153</v>
      </c>
      <c r="J142" t="s">
        <v>1275</v>
      </c>
      <c r="K142" t="s">
        <v>1327</v>
      </c>
      <c r="P142" t="str">
        <v>f</v>
      </c>
      <c r="X142">
        <v>28.238942999999999</v>
      </c>
      <c r="AF142">
        <v>153</v>
      </c>
    </row>
    <row r="143" spans="1:33" x14ac:dyDescent="0.25">
      <c r="A143" t="s">
        <v>298</v>
      </c>
      <c r="B143" s="5" t="s">
        <v>1319</v>
      </c>
      <c r="C143" s="5" t="s">
        <v>1345</v>
      </c>
      <c r="D143" t="s">
        <v>268</v>
      </c>
      <c r="E143">
        <v>105</v>
      </c>
      <c r="F143" t="s">
        <v>299</v>
      </c>
      <c r="G143" s="2" t="s">
        <v>223</v>
      </c>
      <c r="H143">
        <v>40.247523999999999</v>
      </c>
      <c r="I143">
        <v>212</v>
      </c>
      <c r="J143" t="s">
        <v>1275</v>
      </c>
      <c r="K143" t="s">
        <v>1327</v>
      </c>
      <c r="Q143" t="str" cm="1">
        <f t="array" ref="Q143:Q145">G143:G145</f>
        <v>f</v>
      </c>
      <c r="Y143" cm="1">
        <f t="array" ref="Y143:Y145">H143:H145</f>
        <v>40.247523999999999</v>
      </c>
      <c r="AG143" cm="1">
        <f t="array" ref="AG143:AG145">I143:I145</f>
        <v>212</v>
      </c>
    </row>
    <row r="144" spans="1:33" x14ac:dyDescent="0.25">
      <c r="A144" t="s">
        <v>300</v>
      </c>
      <c r="B144" s="5" t="s">
        <v>1319</v>
      </c>
      <c r="C144" s="5" t="s">
        <v>1345</v>
      </c>
      <c r="D144" t="s">
        <v>268</v>
      </c>
      <c r="E144">
        <v>105</v>
      </c>
      <c r="F144" t="s">
        <v>301</v>
      </c>
      <c r="G144" s="2" t="s">
        <v>222</v>
      </c>
      <c r="H144">
        <v>39.396704</v>
      </c>
      <c r="I144">
        <v>202</v>
      </c>
      <c r="J144" t="s">
        <v>1275</v>
      </c>
      <c r="K144" t="s">
        <v>1327</v>
      </c>
      <c r="Q144" t="str">
        <v>t</v>
      </c>
      <c r="Y144">
        <v>39.396704</v>
      </c>
      <c r="AG144">
        <v>202</v>
      </c>
    </row>
    <row r="145" spans="1:34" x14ac:dyDescent="0.25">
      <c r="A145" t="s">
        <v>302</v>
      </c>
      <c r="B145" s="5" t="s">
        <v>1319</v>
      </c>
      <c r="C145" s="5" t="s">
        <v>1345</v>
      </c>
      <c r="D145" t="s">
        <v>268</v>
      </c>
      <c r="E145">
        <v>105</v>
      </c>
      <c r="F145" t="s">
        <v>303</v>
      </c>
      <c r="G145" s="2" t="s">
        <v>222</v>
      </c>
      <c r="H145">
        <v>29.548392</v>
      </c>
      <c r="I145">
        <v>145</v>
      </c>
      <c r="J145" t="s">
        <v>1275</v>
      </c>
      <c r="K145" t="s">
        <v>1327</v>
      </c>
      <c r="Q145" t="str">
        <v>t</v>
      </c>
      <c r="Y145">
        <v>29.548392</v>
      </c>
      <c r="AG145">
        <v>145</v>
      </c>
    </row>
    <row r="146" spans="1:34" x14ac:dyDescent="0.25">
      <c r="A146" t="s">
        <v>304</v>
      </c>
      <c r="B146" s="5" t="s">
        <v>1319</v>
      </c>
      <c r="C146" s="5" t="s">
        <v>1345</v>
      </c>
      <c r="D146" t="s">
        <v>268</v>
      </c>
      <c r="E146">
        <v>109</v>
      </c>
      <c r="F146" t="s">
        <v>305</v>
      </c>
      <c r="H146">
        <v>81.523799999999994</v>
      </c>
      <c r="I146">
        <v>406</v>
      </c>
      <c r="J146" t="s">
        <v>1275</v>
      </c>
      <c r="K146" t="s">
        <v>1327</v>
      </c>
      <c r="R146" cm="1">
        <f t="array" ref="R146:R148">G146:G148</f>
        <v>0</v>
      </c>
      <c r="Z146" cm="1">
        <f t="array" ref="Z146:Z148">H146:H148</f>
        <v>81.523799999999994</v>
      </c>
      <c r="AH146" cm="1">
        <f t="array" ref="AH146:AH148">I146:I148</f>
        <v>406</v>
      </c>
    </row>
    <row r="147" spans="1:34" x14ac:dyDescent="0.25">
      <c r="A147" t="s">
        <v>306</v>
      </c>
      <c r="B147" s="5" t="s">
        <v>1319</v>
      </c>
      <c r="C147" s="5" t="s">
        <v>1345</v>
      </c>
      <c r="D147" t="s">
        <v>268</v>
      </c>
      <c r="E147">
        <v>109</v>
      </c>
      <c r="F147" t="s">
        <v>307</v>
      </c>
      <c r="G147" s="2" t="s">
        <v>223</v>
      </c>
      <c r="H147">
        <v>96.924386999999996</v>
      </c>
      <c r="I147">
        <v>502</v>
      </c>
      <c r="J147" t="s">
        <v>1275</v>
      </c>
      <c r="K147" t="s">
        <v>1327</v>
      </c>
      <c r="R147" t="str">
        <v>f</v>
      </c>
      <c r="Z147">
        <v>96.924386999999996</v>
      </c>
      <c r="AH147">
        <v>502</v>
      </c>
    </row>
    <row r="148" spans="1:34" s="3" customFormat="1" x14ac:dyDescent="0.25">
      <c r="A148" s="3" t="s">
        <v>308</v>
      </c>
      <c r="B148" s="5" t="s">
        <v>1319</v>
      </c>
      <c r="C148" s="5" t="s">
        <v>1345</v>
      </c>
      <c r="D148" s="3" t="s">
        <v>268</v>
      </c>
      <c r="E148" s="3">
        <v>109</v>
      </c>
      <c r="F148" s="3" t="s">
        <v>309</v>
      </c>
      <c r="G148" s="4" t="s">
        <v>222</v>
      </c>
      <c r="H148" s="3">
        <v>69.391424999999998</v>
      </c>
      <c r="I148" s="3">
        <v>352</v>
      </c>
      <c r="J148" s="3" t="s">
        <v>1275</v>
      </c>
      <c r="K148" s="3" t="s">
        <v>1327</v>
      </c>
      <c r="R148" s="3" t="str">
        <v>t</v>
      </c>
      <c r="Z148" s="3">
        <v>69.391424999999998</v>
      </c>
      <c r="AH148" s="3">
        <v>352</v>
      </c>
    </row>
    <row r="149" spans="1:34" s="5" customFormat="1" x14ac:dyDescent="0.25">
      <c r="A149" s="5" t="s">
        <v>310</v>
      </c>
      <c r="B149" s="5" t="s">
        <v>1344</v>
      </c>
      <c r="C149" s="5" t="s">
        <v>1345</v>
      </c>
      <c r="D149" s="5" t="s">
        <v>311</v>
      </c>
      <c r="E149" s="5">
        <v>56</v>
      </c>
      <c r="F149" s="5" t="s">
        <v>312</v>
      </c>
      <c r="G149" s="6" t="s">
        <v>222</v>
      </c>
      <c r="H149" s="5">
        <v>3.0659149999999999</v>
      </c>
      <c r="I149" s="5">
        <v>17</v>
      </c>
      <c r="J149" s="5" t="s">
        <v>1276</v>
      </c>
      <c r="K149" s="5" t="s">
        <v>1327</v>
      </c>
      <c r="L149" s="5" t="str" cm="1">
        <f t="array" ref="L149:L151">G149:G151</f>
        <v>t</v>
      </c>
      <c r="T149" s="5" cm="1">
        <f t="array" ref="T149:T151">H149:H151</f>
        <v>3.0659149999999999</v>
      </c>
      <c r="AB149" s="5" cm="1">
        <f t="array" ref="AB149:AB151">I149:I151</f>
        <v>17</v>
      </c>
    </row>
    <row r="150" spans="1:34" x14ac:dyDescent="0.25">
      <c r="A150" t="s">
        <v>313</v>
      </c>
      <c r="B150" s="5" t="s">
        <v>1344</v>
      </c>
      <c r="C150" s="5" t="s">
        <v>1345</v>
      </c>
      <c r="D150" t="s">
        <v>311</v>
      </c>
      <c r="E150">
        <v>56</v>
      </c>
      <c r="F150" t="s">
        <v>314</v>
      </c>
      <c r="G150" s="2" t="s">
        <v>222</v>
      </c>
      <c r="H150">
        <v>2.7784800000000001</v>
      </c>
      <c r="I150">
        <v>18</v>
      </c>
      <c r="J150" t="s">
        <v>1276</v>
      </c>
      <c r="K150" t="s">
        <v>1327</v>
      </c>
      <c r="L150" t="str">
        <v>t</v>
      </c>
      <c r="T150">
        <v>2.7784800000000001</v>
      </c>
      <c r="AB150">
        <v>18</v>
      </c>
    </row>
    <row r="151" spans="1:34" x14ac:dyDescent="0.25">
      <c r="A151" t="s">
        <v>315</v>
      </c>
      <c r="B151" s="5" t="s">
        <v>1344</v>
      </c>
      <c r="C151" s="5" t="s">
        <v>1345</v>
      </c>
      <c r="D151" t="s">
        <v>311</v>
      </c>
      <c r="E151">
        <v>56</v>
      </c>
      <c r="F151" t="s">
        <v>316</v>
      </c>
      <c r="G151" s="2" t="s">
        <v>222</v>
      </c>
      <c r="H151">
        <v>2.8476089999999998</v>
      </c>
      <c r="I151">
        <v>17</v>
      </c>
      <c r="J151" t="s">
        <v>1276</v>
      </c>
      <c r="K151" t="s">
        <v>1327</v>
      </c>
      <c r="L151" t="str">
        <v>t</v>
      </c>
      <c r="T151">
        <v>2.8476089999999998</v>
      </c>
      <c r="AB151">
        <v>17</v>
      </c>
    </row>
    <row r="152" spans="1:34" x14ac:dyDescent="0.25">
      <c r="A152" t="s">
        <v>317</v>
      </c>
      <c r="B152" s="5" t="s">
        <v>1344</v>
      </c>
      <c r="C152" s="5" t="s">
        <v>1345</v>
      </c>
      <c r="D152" t="s">
        <v>311</v>
      </c>
      <c r="E152">
        <v>66</v>
      </c>
      <c r="F152" t="s">
        <v>318</v>
      </c>
      <c r="G152" s="2" t="s">
        <v>222</v>
      </c>
      <c r="H152">
        <v>34.116599000000001</v>
      </c>
      <c r="I152">
        <v>181</v>
      </c>
      <c r="J152" t="s">
        <v>1276</v>
      </c>
      <c r="K152" t="s">
        <v>1327</v>
      </c>
      <c r="M152" t="str" cm="1">
        <f t="array" ref="M152:M154">G152:G154</f>
        <v>t</v>
      </c>
      <c r="U152" cm="1">
        <f t="array" ref="U152:U154">H152:H154</f>
        <v>34.116599000000001</v>
      </c>
      <c r="AC152" cm="1">
        <f t="array" ref="AC152:AC154">I152:I154</f>
        <v>181</v>
      </c>
    </row>
    <row r="153" spans="1:34" x14ac:dyDescent="0.25">
      <c r="A153" t="s">
        <v>319</v>
      </c>
      <c r="B153" s="5" t="s">
        <v>1344</v>
      </c>
      <c r="C153" s="5" t="s">
        <v>1345</v>
      </c>
      <c r="D153" t="s">
        <v>311</v>
      </c>
      <c r="E153">
        <v>66</v>
      </c>
      <c r="F153" t="s">
        <v>320</v>
      </c>
      <c r="G153" s="2" t="s">
        <v>222</v>
      </c>
      <c r="H153">
        <v>61.013401000000002</v>
      </c>
      <c r="I153">
        <v>320</v>
      </c>
      <c r="J153" t="s">
        <v>1276</v>
      </c>
      <c r="K153" t="s">
        <v>1327</v>
      </c>
      <c r="M153" t="str">
        <v>t</v>
      </c>
      <c r="U153">
        <v>61.013401000000002</v>
      </c>
      <c r="AC153">
        <v>320</v>
      </c>
    </row>
    <row r="154" spans="1:34" x14ac:dyDescent="0.25">
      <c r="A154" t="s">
        <v>321</v>
      </c>
      <c r="B154" s="5" t="s">
        <v>1344</v>
      </c>
      <c r="C154" s="5" t="s">
        <v>1345</v>
      </c>
      <c r="D154" t="s">
        <v>311</v>
      </c>
      <c r="E154">
        <v>66</v>
      </c>
      <c r="F154" t="s">
        <v>322</v>
      </c>
      <c r="G154" s="2" t="s">
        <v>222</v>
      </c>
      <c r="H154">
        <v>58.478160000000003</v>
      </c>
      <c r="I154">
        <v>304</v>
      </c>
      <c r="J154" t="s">
        <v>1276</v>
      </c>
      <c r="K154" t="s">
        <v>1327</v>
      </c>
      <c r="M154" t="str">
        <v>t</v>
      </c>
      <c r="U154">
        <v>58.478160000000003</v>
      </c>
      <c r="AC154">
        <v>304</v>
      </c>
    </row>
    <row r="155" spans="1:34" x14ac:dyDescent="0.25">
      <c r="A155" t="s">
        <v>323</v>
      </c>
      <c r="B155" s="5" t="s">
        <v>1344</v>
      </c>
      <c r="C155" s="5" t="s">
        <v>1345</v>
      </c>
      <c r="D155" t="s">
        <v>311</v>
      </c>
      <c r="E155">
        <v>121</v>
      </c>
      <c r="F155" t="s">
        <v>324</v>
      </c>
      <c r="G155" s="2" t="s">
        <v>223</v>
      </c>
      <c r="H155">
        <v>34.232666999999999</v>
      </c>
      <c r="I155">
        <v>175</v>
      </c>
      <c r="J155" t="s">
        <v>1276</v>
      </c>
      <c r="K155" t="s">
        <v>1327</v>
      </c>
      <c r="N155" t="str" cm="1">
        <f t="array" ref="N155:N157">G155:G157</f>
        <v>f</v>
      </c>
      <c r="V155" cm="1">
        <f t="array" ref="V155:V157">H155:H157</f>
        <v>34.232666999999999</v>
      </c>
      <c r="AD155" cm="1">
        <f t="array" ref="AD155:AD157">I155:I157</f>
        <v>175</v>
      </c>
    </row>
    <row r="156" spans="1:34" x14ac:dyDescent="0.25">
      <c r="A156" t="s">
        <v>325</v>
      </c>
      <c r="B156" s="5" t="s">
        <v>1344</v>
      </c>
      <c r="C156" s="5" t="s">
        <v>1345</v>
      </c>
      <c r="D156" t="s">
        <v>311</v>
      </c>
      <c r="E156">
        <v>121</v>
      </c>
      <c r="F156" t="s">
        <v>326</v>
      </c>
      <c r="G156" s="2" t="s">
        <v>223</v>
      </c>
      <c r="H156">
        <v>28.383721000000001</v>
      </c>
      <c r="I156">
        <v>146</v>
      </c>
      <c r="J156" t="s">
        <v>1276</v>
      </c>
      <c r="K156" t="s">
        <v>1327</v>
      </c>
      <c r="N156" t="str">
        <v>f</v>
      </c>
      <c r="V156">
        <v>28.383721000000001</v>
      </c>
      <c r="AD156">
        <v>146</v>
      </c>
    </row>
    <row r="157" spans="1:34" x14ac:dyDescent="0.25">
      <c r="A157" t="s">
        <v>327</v>
      </c>
      <c r="B157" s="5" t="s">
        <v>1344</v>
      </c>
      <c r="C157" s="5" t="s">
        <v>1345</v>
      </c>
      <c r="D157" t="s">
        <v>311</v>
      </c>
      <c r="E157">
        <v>121</v>
      </c>
      <c r="F157" t="s">
        <v>328</v>
      </c>
      <c r="G157" s="2" t="s">
        <v>222</v>
      </c>
      <c r="H157">
        <v>38.309472</v>
      </c>
      <c r="I157">
        <v>194</v>
      </c>
      <c r="J157" t="s">
        <v>1276</v>
      </c>
      <c r="K157" t="s">
        <v>1327</v>
      </c>
      <c r="N157" t="str">
        <v>t</v>
      </c>
      <c r="V157">
        <v>38.309472</v>
      </c>
      <c r="AD157">
        <v>194</v>
      </c>
    </row>
    <row r="158" spans="1:34" x14ac:dyDescent="0.25">
      <c r="A158" t="s">
        <v>329</v>
      </c>
      <c r="B158" s="5" t="s">
        <v>1344</v>
      </c>
      <c r="C158" s="5" t="s">
        <v>1345</v>
      </c>
      <c r="D158" t="s">
        <v>311</v>
      </c>
      <c r="E158">
        <v>94</v>
      </c>
      <c r="F158" t="s">
        <v>330</v>
      </c>
      <c r="G158" s="2" t="s">
        <v>222</v>
      </c>
      <c r="H158">
        <v>24.000502999999998</v>
      </c>
      <c r="I158">
        <v>124</v>
      </c>
      <c r="J158" t="s">
        <v>1276</v>
      </c>
      <c r="K158" t="s">
        <v>1327</v>
      </c>
      <c r="O158" t="str" cm="1">
        <f t="array" ref="O158:O160">G158:G160</f>
        <v>t</v>
      </c>
      <c r="W158" cm="1">
        <f t="array" ref="W158:W160">H158:H160</f>
        <v>24.000502999999998</v>
      </c>
      <c r="AE158" cm="1">
        <f t="array" ref="AE158:AE160">I158:I160</f>
        <v>124</v>
      </c>
    </row>
    <row r="159" spans="1:34" x14ac:dyDescent="0.25">
      <c r="A159" t="s">
        <v>331</v>
      </c>
      <c r="B159" s="5" t="s">
        <v>1344</v>
      </c>
      <c r="C159" s="5" t="s">
        <v>1345</v>
      </c>
      <c r="D159" t="s">
        <v>311</v>
      </c>
      <c r="E159">
        <v>94</v>
      </c>
      <c r="F159" t="s">
        <v>332</v>
      </c>
      <c r="G159" s="2" t="s">
        <v>222</v>
      </c>
      <c r="H159">
        <v>14.193485000000001</v>
      </c>
      <c r="I159">
        <v>72</v>
      </c>
      <c r="J159" t="s">
        <v>1276</v>
      </c>
      <c r="K159" t="s">
        <v>1327</v>
      </c>
      <c r="O159" t="str">
        <v>t</v>
      </c>
      <c r="W159">
        <v>14.193485000000001</v>
      </c>
      <c r="AE159">
        <v>72</v>
      </c>
    </row>
    <row r="160" spans="1:34" x14ac:dyDescent="0.25">
      <c r="A160" t="s">
        <v>333</v>
      </c>
      <c r="B160" s="5" t="s">
        <v>1344</v>
      </c>
      <c r="C160" s="5" t="s">
        <v>1345</v>
      </c>
      <c r="D160" t="s">
        <v>311</v>
      </c>
      <c r="E160">
        <v>94</v>
      </c>
      <c r="F160" t="s">
        <v>334</v>
      </c>
      <c r="G160" s="2" t="s">
        <v>222</v>
      </c>
      <c r="H160">
        <v>18.994928999999999</v>
      </c>
      <c r="I160">
        <v>96</v>
      </c>
      <c r="J160" t="s">
        <v>1276</v>
      </c>
      <c r="K160" t="s">
        <v>1327</v>
      </c>
      <c r="O160" t="str">
        <v>t</v>
      </c>
      <c r="W160">
        <v>18.994928999999999</v>
      </c>
      <c r="AE160">
        <v>96</v>
      </c>
    </row>
    <row r="161" spans="1:34" x14ac:dyDescent="0.25">
      <c r="A161" s="1" t="s">
        <v>335</v>
      </c>
      <c r="B161" s="5" t="s">
        <v>1344</v>
      </c>
      <c r="C161" s="5" t="s">
        <v>1345</v>
      </c>
      <c r="D161" t="s">
        <v>311</v>
      </c>
      <c r="E161">
        <v>92</v>
      </c>
      <c r="F161" t="s">
        <v>336</v>
      </c>
      <c r="G161" s="2" t="s">
        <v>222</v>
      </c>
      <c r="H161">
        <v>34.717368999999998</v>
      </c>
      <c r="I161">
        <v>178</v>
      </c>
      <c r="J161" t="s">
        <v>1276</v>
      </c>
      <c r="K161" t="s">
        <v>1327</v>
      </c>
      <c r="P161" t="str" cm="1">
        <f t="array" ref="P161:P163">G161:G163</f>
        <v>t</v>
      </c>
      <c r="X161" cm="1">
        <f t="array" ref="X161:X163">H161:H163</f>
        <v>34.717368999999998</v>
      </c>
      <c r="AF161" cm="1">
        <f t="array" ref="AF161:AF163">I161:I163</f>
        <v>178</v>
      </c>
    </row>
    <row r="162" spans="1:34" x14ac:dyDescent="0.25">
      <c r="A162" s="1" t="s">
        <v>337</v>
      </c>
      <c r="B162" s="5" t="s">
        <v>1344</v>
      </c>
      <c r="C162" s="5" t="s">
        <v>1345</v>
      </c>
      <c r="D162" t="s">
        <v>311</v>
      </c>
      <c r="E162">
        <v>92</v>
      </c>
      <c r="F162" t="s">
        <v>338</v>
      </c>
      <c r="G162" s="2" t="s">
        <v>222</v>
      </c>
      <c r="H162">
        <v>24.327207000000001</v>
      </c>
      <c r="I162">
        <v>123</v>
      </c>
      <c r="J162" t="s">
        <v>1276</v>
      </c>
      <c r="K162" t="s">
        <v>1327</v>
      </c>
      <c r="P162" t="str">
        <v>t</v>
      </c>
      <c r="X162">
        <v>24.327207000000001</v>
      </c>
      <c r="AF162">
        <v>123</v>
      </c>
    </row>
    <row r="163" spans="1:34" x14ac:dyDescent="0.25">
      <c r="A163" s="1" t="s">
        <v>339</v>
      </c>
      <c r="B163" s="5" t="s">
        <v>1344</v>
      </c>
      <c r="C163" s="5" t="s">
        <v>1345</v>
      </c>
      <c r="D163" t="s">
        <v>311</v>
      </c>
      <c r="E163">
        <v>92</v>
      </c>
      <c r="F163" t="s">
        <v>340</v>
      </c>
      <c r="G163" s="2" t="s">
        <v>222</v>
      </c>
      <c r="H163">
        <v>30.553125999999999</v>
      </c>
      <c r="I163">
        <v>158</v>
      </c>
      <c r="J163" t="s">
        <v>1276</v>
      </c>
      <c r="K163" t="s">
        <v>1327</v>
      </c>
      <c r="P163" t="str">
        <v>t</v>
      </c>
      <c r="X163">
        <v>30.553125999999999</v>
      </c>
      <c r="AF163">
        <v>158</v>
      </c>
    </row>
    <row r="164" spans="1:34" x14ac:dyDescent="0.25">
      <c r="A164" t="s">
        <v>341</v>
      </c>
      <c r="B164" s="5" t="s">
        <v>1344</v>
      </c>
      <c r="C164" s="5" t="s">
        <v>1345</v>
      </c>
      <c r="D164" t="s">
        <v>311</v>
      </c>
      <c r="E164">
        <v>93</v>
      </c>
      <c r="F164" t="s">
        <v>342</v>
      </c>
      <c r="G164" s="2" t="s">
        <v>222</v>
      </c>
      <c r="H164">
        <v>29.625004000000001</v>
      </c>
      <c r="I164">
        <v>165</v>
      </c>
      <c r="J164" t="s">
        <v>1276</v>
      </c>
      <c r="K164" t="s">
        <v>1327</v>
      </c>
      <c r="Q164" t="str" cm="1">
        <f t="array" ref="Q164:Q166">G164:G166</f>
        <v>t</v>
      </c>
      <c r="Y164" cm="1">
        <f t="array" ref="Y164:Y166">H164:H166</f>
        <v>29.625004000000001</v>
      </c>
      <c r="AG164" cm="1">
        <f t="array" ref="AG164:AG166">I164:I166</f>
        <v>165</v>
      </c>
    </row>
    <row r="165" spans="1:34" x14ac:dyDescent="0.25">
      <c r="A165" t="s">
        <v>343</v>
      </c>
      <c r="B165" s="5" t="s">
        <v>1344</v>
      </c>
      <c r="C165" s="5" t="s">
        <v>1345</v>
      </c>
      <c r="D165" t="s">
        <v>311</v>
      </c>
      <c r="E165">
        <v>93</v>
      </c>
      <c r="F165" t="s">
        <v>344</v>
      </c>
      <c r="G165" s="2" t="s">
        <v>222</v>
      </c>
      <c r="H165">
        <v>47.066324999999999</v>
      </c>
      <c r="I165">
        <v>239</v>
      </c>
      <c r="J165" t="s">
        <v>1276</v>
      </c>
      <c r="K165" t="s">
        <v>1327</v>
      </c>
      <c r="Q165" t="str">
        <v>t</v>
      </c>
      <c r="Y165">
        <v>47.066324999999999</v>
      </c>
      <c r="AG165">
        <v>239</v>
      </c>
    </row>
    <row r="166" spans="1:34" x14ac:dyDescent="0.25">
      <c r="A166" t="s">
        <v>345</v>
      </c>
      <c r="B166" s="5" t="s">
        <v>1344</v>
      </c>
      <c r="C166" s="5" t="s">
        <v>1345</v>
      </c>
      <c r="D166" t="s">
        <v>311</v>
      </c>
      <c r="E166">
        <v>93</v>
      </c>
      <c r="F166" t="s">
        <v>346</v>
      </c>
      <c r="G166" s="2" t="s">
        <v>222</v>
      </c>
      <c r="H166">
        <v>27.856379</v>
      </c>
      <c r="I166">
        <v>146</v>
      </c>
      <c r="J166" t="s">
        <v>1276</v>
      </c>
      <c r="K166" t="s">
        <v>1327</v>
      </c>
      <c r="Q166" t="str">
        <v>t</v>
      </c>
      <c r="Y166">
        <v>27.856379</v>
      </c>
      <c r="AG166">
        <v>146</v>
      </c>
    </row>
    <row r="167" spans="1:34" x14ac:dyDescent="0.25">
      <c r="A167" t="s">
        <v>347</v>
      </c>
      <c r="B167" s="5" t="s">
        <v>1344</v>
      </c>
      <c r="C167" s="5" t="s">
        <v>1345</v>
      </c>
      <c r="D167" t="s">
        <v>311</v>
      </c>
      <c r="E167">
        <v>97</v>
      </c>
      <c r="F167" t="s">
        <v>348</v>
      </c>
      <c r="G167" s="2" t="s">
        <v>222</v>
      </c>
      <c r="H167">
        <v>9.2623700000000007</v>
      </c>
      <c r="I167">
        <v>52</v>
      </c>
      <c r="J167" t="s">
        <v>1276</v>
      </c>
      <c r="K167" t="s">
        <v>1327</v>
      </c>
      <c r="R167" t="str" cm="1">
        <f t="array" ref="R167:R169">G167:G169</f>
        <v>t</v>
      </c>
      <c r="Z167" cm="1">
        <f t="array" ref="Z167:Z169">H167:H169</f>
        <v>9.2623700000000007</v>
      </c>
      <c r="AH167" cm="1">
        <f t="array" ref="AH167:AH169">I167:I169</f>
        <v>52</v>
      </c>
    </row>
    <row r="168" spans="1:34" x14ac:dyDescent="0.25">
      <c r="A168" t="s">
        <v>349</v>
      </c>
      <c r="B168" s="5" t="s">
        <v>1344</v>
      </c>
      <c r="C168" s="5" t="s">
        <v>1345</v>
      </c>
      <c r="D168" t="s">
        <v>311</v>
      </c>
      <c r="E168">
        <v>97</v>
      </c>
      <c r="F168" t="s">
        <v>350</v>
      </c>
      <c r="G168" s="2" t="s">
        <v>223</v>
      </c>
      <c r="H168">
        <v>85.788544999999999</v>
      </c>
      <c r="I168">
        <v>443</v>
      </c>
      <c r="J168" t="s">
        <v>1276</v>
      </c>
      <c r="K168" t="s">
        <v>1327</v>
      </c>
      <c r="R168" t="str">
        <v>f</v>
      </c>
      <c r="Z168">
        <v>85.788544999999999</v>
      </c>
      <c r="AH168">
        <v>443</v>
      </c>
    </row>
    <row r="169" spans="1:34" s="3" customFormat="1" x14ac:dyDescent="0.25">
      <c r="A169" s="3" t="s">
        <v>351</v>
      </c>
      <c r="B169" s="5" t="s">
        <v>1344</v>
      </c>
      <c r="C169" s="5" t="s">
        <v>1345</v>
      </c>
      <c r="D169" s="3" t="s">
        <v>311</v>
      </c>
      <c r="E169" s="3">
        <v>97</v>
      </c>
      <c r="F169" s="3" t="s">
        <v>352</v>
      </c>
      <c r="G169" s="4" t="s">
        <v>223</v>
      </c>
      <c r="H169" s="3">
        <v>60.395392999999999</v>
      </c>
      <c r="I169" s="3">
        <v>317</v>
      </c>
      <c r="J169" s="3" t="s">
        <v>1276</v>
      </c>
      <c r="K169" s="3" t="s">
        <v>1327</v>
      </c>
      <c r="R169" s="3" t="str">
        <v>f</v>
      </c>
      <c r="Z169" s="3">
        <v>60.395392999999999</v>
      </c>
      <c r="AH169" s="3">
        <v>317</v>
      </c>
    </row>
    <row r="170" spans="1:34" s="5" customFormat="1" x14ac:dyDescent="0.25">
      <c r="A170" s="5" t="s">
        <v>353</v>
      </c>
      <c r="B170" s="5" t="s">
        <v>1319</v>
      </c>
      <c r="C170" s="5" t="s">
        <v>1345</v>
      </c>
      <c r="D170" s="5" t="s">
        <v>354</v>
      </c>
      <c r="E170" s="5">
        <v>54</v>
      </c>
      <c r="F170" s="5" t="s">
        <v>355</v>
      </c>
      <c r="G170" s="6" t="s">
        <v>222</v>
      </c>
      <c r="H170" s="5">
        <v>5.6264219999999998</v>
      </c>
      <c r="I170" s="5">
        <v>33</v>
      </c>
      <c r="J170" s="5" t="s">
        <v>1277</v>
      </c>
      <c r="K170" s="5" t="s">
        <v>1327</v>
      </c>
      <c r="L170" s="5" t="str" cm="1">
        <f t="array" ref="L170:L172">G170:G172</f>
        <v>t</v>
      </c>
      <c r="T170" s="5" cm="1">
        <f t="array" ref="T170:T172">H170:H172</f>
        <v>5.6264219999999998</v>
      </c>
      <c r="AB170" s="5" cm="1">
        <f t="array" ref="AB170:AB172">I170:I172</f>
        <v>33</v>
      </c>
    </row>
    <row r="171" spans="1:34" x14ac:dyDescent="0.25">
      <c r="A171" t="s">
        <v>356</v>
      </c>
      <c r="B171" s="5" t="s">
        <v>1319</v>
      </c>
      <c r="C171" s="5" t="s">
        <v>1345</v>
      </c>
      <c r="D171" t="s">
        <v>354</v>
      </c>
      <c r="E171">
        <v>54</v>
      </c>
      <c r="F171" t="s">
        <v>357</v>
      </c>
      <c r="G171" s="2" t="s">
        <v>222</v>
      </c>
      <c r="H171">
        <v>12.196493</v>
      </c>
      <c r="I171">
        <v>64</v>
      </c>
      <c r="J171" t="s">
        <v>1277</v>
      </c>
      <c r="K171" t="s">
        <v>1327</v>
      </c>
      <c r="L171" t="str">
        <v>t</v>
      </c>
      <c r="T171">
        <v>12.196493</v>
      </c>
      <c r="AB171">
        <v>64</v>
      </c>
    </row>
    <row r="172" spans="1:34" x14ac:dyDescent="0.25">
      <c r="A172" t="s">
        <v>358</v>
      </c>
      <c r="B172" s="5" t="s">
        <v>1319</v>
      </c>
      <c r="C172" s="5" t="s">
        <v>1345</v>
      </c>
      <c r="D172" t="s">
        <v>354</v>
      </c>
      <c r="E172">
        <v>54</v>
      </c>
      <c r="F172" t="s">
        <v>359</v>
      </c>
      <c r="G172" s="2" t="s">
        <v>222</v>
      </c>
      <c r="H172">
        <v>7.6099829999999997</v>
      </c>
      <c r="I172">
        <v>40</v>
      </c>
      <c r="J172" t="s">
        <v>1277</v>
      </c>
      <c r="K172" t="s">
        <v>1327</v>
      </c>
      <c r="L172" t="str">
        <v>t</v>
      </c>
      <c r="T172">
        <v>7.6099829999999997</v>
      </c>
      <c r="AB172">
        <v>40</v>
      </c>
    </row>
    <row r="173" spans="1:34" x14ac:dyDescent="0.25">
      <c r="A173" t="s">
        <v>360</v>
      </c>
      <c r="B173" s="5" t="s">
        <v>1319</v>
      </c>
      <c r="C173" s="5" t="s">
        <v>1345</v>
      </c>
      <c r="D173" t="s">
        <v>354</v>
      </c>
      <c r="E173">
        <v>64</v>
      </c>
      <c r="F173" t="s">
        <v>361</v>
      </c>
      <c r="G173" s="2" t="s">
        <v>222</v>
      </c>
      <c r="H173">
        <v>52.769139000000003</v>
      </c>
      <c r="I173">
        <v>283</v>
      </c>
      <c r="J173" t="s">
        <v>1277</v>
      </c>
      <c r="K173" t="s">
        <v>1327</v>
      </c>
      <c r="M173" t="str" cm="1">
        <f t="array" ref="M173:M175">G173:G175</f>
        <v>t</v>
      </c>
      <c r="U173" cm="1">
        <f t="array" ref="U173:U175">H173:H175</f>
        <v>52.769139000000003</v>
      </c>
      <c r="AC173" cm="1">
        <f t="array" ref="AC173:AC175">I173:I175</f>
        <v>283</v>
      </c>
    </row>
    <row r="174" spans="1:34" x14ac:dyDescent="0.25">
      <c r="A174" t="s">
        <v>362</v>
      </c>
      <c r="B174" s="5" t="s">
        <v>1319</v>
      </c>
      <c r="C174" s="5" t="s">
        <v>1345</v>
      </c>
      <c r="D174" t="s">
        <v>354</v>
      </c>
      <c r="E174">
        <v>64</v>
      </c>
      <c r="F174" t="s">
        <v>363</v>
      </c>
      <c r="G174" s="2" t="s">
        <v>222</v>
      </c>
      <c r="H174">
        <v>45.932696999999997</v>
      </c>
      <c r="I174">
        <v>231</v>
      </c>
      <c r="J174" t="s">
        <v>1277</v>
      </c>
      <c r="K174" t="s">
        <v>1327</v>
      </c>
      <c r="M174" t="str">
        <v>t</v>
      </c>
      <c r="U174">
        <v>45.932696999999997</v>
      </c>
      <c r="AC174">
        <v>231</v>
      </c>
    </row>
    <row r="175" spans="1:34" x14ac:dyDescent="0.25">
      <c r="A175" t="s">
        <v>364</v>
      </c>
      <c r="B175" s="5" t="s">
        <v>1319</v>
      </c>
      <c r="C175" s="5" t="s">
        <v>1345</v>
      </c>
      <c r="D175" t="s">
        <v>354</v>
      </c>
      <c r="E175">
        <v>64</v>
      </c>
      <c r="F175" t="s">
        <v>365</v>
      </c>
      <c r="G175" s="2" t="s">
        <v>222</v>
      </c>
      <c r="H175">
        <v>38.048206999999998</v>
      </c>
      <c r="I175">
        <v>192</v>
      </c>
      <c r="J175" t="s">
        <v>1277</v>
      </c>
      <c r="K175" t="s">
        <v>1327</v>
      </c>
      <c r="M175" t="str">
        <v>t</v>
      </c>
      <c r="U175">
        <v>38.048206999999998</v>
      </c>
      <c r="AC175">
        <v>192</v>
      </c>
    </row>
    <row r="176" spans="1:34" x14ac:dyDescent="0.25">
      <c r="A176" t="s">
        <v>366</v>
      </c>
      <c r="B176" s="5" t="s">
        <v>1319</v>
      </c>
      <c r="C176" s="5" t="s">
        <v>1345</v>
      </c>
      <c r="D176" t="s">
        <v>354</v>
      </c>
      <c r="E176">
        <v>119</v>
      </c>
      <c r="F176" t="s">
        <v>367</v>
      </c>
      <c r="G176" s="2" t="s">
        <v>222</v>
      </c>
      <c r="H176">
        <v>25.562131000000001</v>
      </c>
      <c r="I176">
        <v>127</v>
      </c>
      <c r="J176" t="s">
        <v>1277</v>
      </c>
      <c r="K176" t="s">
        <v>1327</v>
      </c>
      <c r="N176" t="str" cm="1">
        <f t="array" ref="N176:N178">G176:G178</f>
        <v>t</v>
      </c>
      <c r="V176" cm="1">
        <f t="array" ref="V176:V178">H176:H178</f>
        <v>25.562131000000001</v>
      </c>
      <c r="AD176" cm="1">
        <f t="array" ref="AD176:AD178">I176:I178</f>
        <v>127</v>
      </c>
    </row>
    <row r="177" spans="1:34" x14ac:dyDescent="0.25">
      <c r="A177" t="s">
        <v>368</v>
      </c>
      <c r="B177" s="5" t="s">
        <v>1319</v>
      </c>
      <c r="C177" s="5" t="s">
        <v>1345</v>
      </c>
      <c r="D177" t="s">
        <v>354</v>
      </c>
      <c r="E177">
        <v>119</v>
      </c>
      <c r="F177" t="s">
        <v>369</v>
      </c>
      <c r="G177" s="2" t="s">
        <v>222</v>
      </c>
      <c r="H177">
        <v>28.421897000000001</v>
      </c>
      <c r="I177">
        <v>153</v>
      </c>
      <c r="J177" t="s">
        <v>1277</v>
      </c>
      <c r="K177" t="s">
        <v>1327</v>
      </c>
      <c r="N177" t="str">
        <v>t</v>
      </c>
      <c r="V177">
        <v>28.421897000000001</v>
      </c>
      <c r="AD177">
        <v>153</v>
      </c>
    </row>
    <row r="178" spans="1:34" x14ac:dyDescent="0.25">
      <c r="A178" t="s">
        <v>370</v>
      </c>
      <c r="B178" s="5" t="s">
        <v>1319</v>
      </c>
      <c r="C178" s="5" t="s">
        <v>1345</v>
      </c>
      <c r="D178" t="s">
        <v>354</v>
      </c>
      <c r="E178">
        <v>119</v>
      </c>
      <c r="F178" t="s">
        <v>371</v>
      </c>
      <c r="G178" s="2" t="s">
        <v>222</v>
      </c>
      <c r="H178">
        <v>37.774720000000002</v>
      </c>
      <c r="I178">
        <v>192</v>
      </c>
      <c r="J178" t="s">
        <v>1277</v>
      </c>
      <c r="K178" t="s">
        <v>1327</v>
      </c>
      <c r="N178" t="str">
        <v>t</v>
      </c>
      <c r="V178">
        <v>37.774720000000002</v>
      </c>
      <c r="AD178">
        <v>192</v>
      </c>
    </row>
    <row r="179" spans="1:34" x14ac:dyDescent="0.25">
      <c r="A179" t="s">
        <v>372</v>
      </c>
      <c r="B179" s="5" t="s">
        <v>1319</v>
      </c>
      <c r="C179" s="5" t="s">
        <v>1345</v>
      </c>
      <c r="D179" t="s">
        <v>354</v>
      </c>
      <c r="E179">
        <v>92</v>
      </c>
      <c r="F179" t="s">
        <v>373</v>
      </c>
      <c r="G179" s="2" t="s">
        <v>222</v>
      </c>
      <c r="H179">
        <v>29.811997000000002</v>
      </c>
      <c r="I179">
        <v>157</v>
      </c>
      <c r="J179" t="s">
        <v>1277</v>
      </c>
      <c r="K179" t="s">
        <v>1327</v>
      </c>
      <c r="O179" t="str" cm="1">
        <f t="array" ref="O179:O181">G179:G181</f>
        <v>t</v>
      </c>
      <c r="W179" cm="1">
        <f t="array" ref="W179:W181">H179:H181</f>
        <v>29.811997000000002</v>
      </c>
      <c r="AE179" cm="1">
        <f t="array" ref="AE179:AE181">I179:I181</f>
        <v>157</v>
      </c>
    </row>
    <row r="180" spans="1:34" x14ac:dyDescent="0.25">
      <c r="A180" t="s">
        <v>374</v>
      </c>
      <c r="B180" s="5" t="s">
        <v>1319</v>
      </c>
      <c r="C180" s="5" t="s">
        <v>1345</v>
      </c>
      <c r="D180" t="s">
        <v>354</v>
      </c>
      <c r="E180">
        <v>92</v>
      </c>
      <c r="F180" t="s">
        <v>375</v>
      </c>
      <c r="G180" s="2" t="s">
        <v>223</v>
      </c>
      <c r="H180">
        <v>34.946081999999997</v>
      </c>
      <c r="I180">
        <v>183</v>
      </c>
      <c r="J180" t="s">
        <v>1277</v>
      </c>
      <c r="K180" t="s">
        <v>1327</v>
      </c>
      <c r="O180" t="str">
        <v>f</v>
      </c>
      <c r="W180">
        <v>34.946081999999997</v>
      </c>
      <c r="AE180">
        <v>183</v>
      </c>
    </row>
    <row r="181" spans="1:34" x14ac:dyDescent="0.25">
      <c r="A181" t="s">
        <v>376</v>
      </c>
      <c r="B181" s="5" t="s">
        <v>1319</v>
      </c>
      <c r="C181" s="5" t="s">
        <v>1345</v>
      </c>
      <c r="D181" t="s">
        <v>354</v>
      </c>
      <c r="E181">
        <v>92</v>
      </c>
      <c r="F181" t="s">
        <v>377</v>
      </c>
      <c r="G181" s="2" t="s">
        <v>222</v>
      </c>
      <c r="H181">
        <v>22.394508999999999</v>
      </c>
      <c r="I181">
        <v>115</v>
      </c>
      <c r="J181" t="s">
        <v>1277</v>
      </c>
      <c r="K181" t="s">
        <v>1327</v>
      </c>
      <c r="O181" t="str">
        <v>t</v>
      </c>
      <c r="W181">
        <v>22.394508999999999</v>
      </c>
      <c r="AE181">
        <v>115</v>
      </c>
    </row>
    <row r="182" spans="1:34" x14ac:dyDescent="0.25">
      <c r="A182" s="1" t="s">
        <v>378</v>
      </c>
      <c r="B182" s="5" t="s">
        <v>1319</v>
      </c>
      <c r="C182" s="5" t="s">
        <v>1345</v>
      </c>
      <c r="D182" t="s">
        <v>354</v>
      </c>
      <c r="E182">
        <v>90</v>
      </c>
      <c r="F182" t="s">
        <v>379</v>
      </c>
      <c r="G182" s="2" t="s">
        <v>223</v>
      </c>
      <c r="H182">
        <v>24.936753</v>
      </c>
      <c r="I182">
        <v>131</v>
      </c>
      <c r="J182" t="s">
        <v>1277</v>
      </c>
      <c r="K182" t="s">
        <v>1327</v>
      </c>
      <c r="P182" t="str" cm="1">
        <f t="array" ref="P182:P184">G182:G184</f>
        <v>f</v>
      </c>
      <c r="X182" cm="1">
        <f t="array" ref="X182:X184">H182:H184</f>
        <v>24.936753</v>
      </c>
      <c r="AF182" cm="1">
        <f t="array" ref="AF182:AF184">I182:I184</f>
        <v>131</v>
      </c>
    </row>
    <row r="183" spans="1:34" x14ac:dyDescent="0.25">
      <c r="A183" s="1" t="s">
        <v>380</v>
      </c>
      <c r="B183" s="5" t="s">
        <v>1319</v>
      </c>
      <c r="C183" s="5" t="s">
        <v>1345</v>
      </c>
      <c r="D183" t="s">
        <v>354</v>
      </c>
      <c r="E183">
        <v>90</v>
      </c>
      <c r="F183" t="s">
        <v>381</v>
      </c>
      <c r="G183" s="2" t="s">
        <v>222</v>
      </c>
      <c r="H183">
        <v>23.857347000000001</v>
      </c>
      <c r="I183">
        <v>119</v>
      </c>
      <c r="J183" t="s">
        <v>1277</v>
      </c>
      <c r="K183" t="s">
        <v>1327</v>
      </c>
      <c r="P183" t="str">
        <v>t</v>
      </c>
      <c r="X183">
        <v>23.857347000000001</v>
      </c>
      <c r="AF183">
        <v>119</v>
      </c>
    </row>
    <row r="184" spans="1:34" x14ac:dyDescent="0.25">
      <c r="A184" s="1" t="s">
        <v>382</v>
      </c>
      <c r="B184" s="5" t="s">
        <v>1319</v>
      </c>
      <c r="C184" s="5" t="s">
        <v>1345</v>
      </c>
      <c r="D184" t="s">
        <v>354</v>
      </c>
      <c r="E184">
        <v>90</v>
      </c>
      <c r="F184" t="s">
        <v>383</v>
      </c>
      <c r="G184" s="2" t="s">
        <v>223</v>
      </c>
      <c r="H184">
        <v>24.487107000000002</v>
      </c>
      <c r="I184">
        <v>124</v>
      </c>
      <c r="J184" t="s">
        <v>1277</v>
      </c>
      <c r="K184" t="s">
        <v>1327</v>
      </c>
      <c r="P184" t="str">
        <v>f</v>
      </c>
      <c r="X184">
        <v>24.487107000000002</v>
      </c>
      <c r="AF184">
        <v>124</v>
      </c>
    </row>
    <row r="185" spans="1:34" x14ac:dyDescent="0.25">
      <c r="A185" t="s">
        <v>384</v>
      </c>
      <c r="B185" s="5" t="s">
        <v>1319</v>
      </c>
      <c r="C185" s="5" t="s">
        <v>1345</v>
      </c>
      <c r="D185" t="s">
        <v>354</v>
      </c>
      <c r="E185">
        <v>91</v>
      </c>
      <c r="F185" t="s">
        <v>385</v>
      </c>
      <c r="G185" s="2" t="s">
        <v>222</v>
      </c>
      <c r="H185">
        <v>42.489072</v>
      </c>
      <c r="I185">
        <v>235</v>
      </c>
      <c r="J185" t="s">
        <v>1277</v>
      </c>
      <c r="K185" t="s">
        <v>1327</v>
      </c>
      <c r="Q185" t="str" cm="1">
        <f t="array" ref="Q185:Q187">G185:G187</f>
        <v>t</v>
      </c>
      <c r="Y185" cm="1">
        <f t="array" ref="Y185:Y187">H185:H187</f>
        <v>42.489072</v>
      </c>
      <c r="AG185" cm="1">
        <f t="array" ref="AG185:AG187">I185:I187</f>
        <v>235</v>
      </c>
    </row>
    <row r="186" spans="1:34" x14ac:dyDescent="0.25">
      <c r="A186" t="s">
        <v>386</v>
      </c>
      <c r="B186" s="5" t="s">
        <v>1319</v>
      </c>
      <c r="C186" s="5" t="s">
        <v>1345</v>
      </c>
      <c r="D186" t="s">
        <v>354</v>
      </c>
      <c r="E186">
        <v>91</v>
      </c>
      <c r="F186" t="s">
        <v>387</v>
      </c>
      <c r="G186" s="2" t="s">
        <v>222</v>
      </c>
      <c r="H186">
        <v>54.746628000000001</v>
      </c>
      <c r="I186">
        <v>275</v>
      </c>
      <c r="J186" t="s">
        <v>1277</v>
      </c>
      <c r="K186" t="s">
        <v>1327</v>
      </c>
      <c r="Q186" t="str">
        <v>t</v>
      </c>
      <c r="Y186">
        <v>54.746628000000001</v>
      </c>
      <c r="AG186">
        <v>275</v>
      </c>
    </row>
    <row r="187" spans="1:34" x14ac:dyDescent="0.25">
      <c r="A187" t="s">
        <v>388</v>
      </c>
      <c r="B187" s="5" t="s">
        <v>1319</v>
      </c>
      <c r="C187" s="5" t="s">
        <v>1345</v>
      </c>
      <c r="D187" t="s">
        <v>354</v>
      </c>
      <c r="E187">
        <v>91</v>
      </c>
      <c r="F187" t="s">
        <v>389</v>
      </c>
      <c r="G187" s="2" t="s">
        <v>222</v>
      </c>
      <c r="H187">
        <v>61.955385999999997</v>
      </c>
      <c r="I187">
        <v>321</v>
      </c>
      <c r="J187" t="s">
        <v>1277</v>
      </c>
      <c r="K187" t="s">
        <v>1327</v>
      </c>
      <c r="Q187" t="str">
        <v>t</v>
      </c>
      <c r="Y187">
        <v>61.955385999999997</v>
      </c>
      <c r="AG187">
        <v>321</v>
      </c>
    </row>
    <row r="188" spans="1:34" x14ac:dyDescent="0.25">
      <c r="A188" t="s">
        <v>390</v>
      </c>
      <c r="B188" s="5" t="s">
        <v>1319</v>
      </c>
      <c r="C188" s="5" t="s">
        <v>1345</v>
      </c>
      <c r="D188" t="s">
        <v>354</v>
      </c>
      <c r="E188">
        <v>95</v>
      </c>
      <c r="F188" t="s">
        <v>391</v>
      </c>
      <c r="G188" s="2" t="s">
        <v>223</v>
      </c>
      <c r="H188">
        <v>32.664214000000001</v>
      </c>
      <c r="I188">
        <v>172</v>
      </c>
      <c r="J188" t="s">
        <v>1277</v>
      </c>
      <c r="K188" t="s">
        <v>1327</v>
      </c>
      <c r="R188" t="str" cm="1">
        <f t="array" ref="R188:R190">G188:G190</f>
        <v>f</v>
      </c>
      <c r="Z188" cm="1">
        <f t="array" ref="Z188:Z190">H188:H190</f>
        <v>32.664214000000001</v>
      </c>
      <c r="AH188" cm="1">
        <f t="array" ref="AH188:AH190">I188:I190</f>
        <v>172</v>
      </c>
    </row>
    <row r="189" spans="1:34" x14ac:dyDescent="0.25">
      <c r="A189" t="s">
        <v>392</v>
      </c>
      <c r="B189" s="5" t="s">
        <v>1319</v>
      </c>
      <c r="C189" s="5" t="s">
        <v>1345</v>
      </c>
      <c r="D189" t="s">
        <v>354</v>
      </c>
      <c r="E189">
        <v>95</v>
      </c>
      <c r="F189" t="s">
        <v>393</v>
      </c>
      <c r="G189" s="2" t="s">
        <v>222</v>
      </c>
      <c r="H189">
        <v>16.550331</v>
      </c>
      <c r="I189">
        <v>86</v>
      </c>
      <c r="J189" t="s">
        <v>1277</v>
      </c>
      <c r="K189" t="s">
        <v>1327</v>
      </c>
      <c r="R189" t="str">
        <v>t</v>
      </c>
      <c r="Z189">
        <v>16.550331</v>
      </c>
      <c r="AH189">
        <v>86</v>
      </c>
    </row>
    <row r="190" spans="1:34" s="3" customFormat="1" x14ac:dyDescent="0.25">
      <c r="A190" s="3" t="s">
        <v>394</v>
      </c>
      <c r="B190" s="5" t="s">
        <v>1319</v>
      </c>
      <c r="C190" s="5" t="s">
        <v>1345</v>
      </c>
      <c r="D190" s="3" t="s">
        <v>354</v>
      </c>
      <c r="E190" s="3">
        <v>95</v>
      </c>
      <c r="F190" s="3" t="s">
        <v>395</v>
      </c>
      <c r="G190" s="4" t="s">
        <v>223</v>
      </c>
      <c r="H190" s="3">
        <v>50.870702000000001</v>
      </c>
      <c r="I190" s="3">
        <v>258</v>
      </c>
      <c r="J190" s="3" t="s">
        <v>1277</v>
      </c>
      <c r="K190" s="3" t="s">
        <v>1327</v>
      </c>
      <c r="R190" s="3" t="str">
        <v>f</v>
      </c>
      <c r="Z190" s="3">
        <v>50.870702000000001</v>
      </c>
      <c r="AH190" s="3">
        <v>258</v>
      </c>
    </row>
    <row r="191" spans="1:34" s="5" customFormat="1" x14ac:dyDescent="0.25">
      <c r="A191" s="5" t="s">
        <v>396</v>
      </c>
      <c r="B191" s="5" t="s">
        <v>1319</v>
      </c>
      <c r="C191" s="5" t="s">
        <v>1347</v>
      </c>
      <c r="D191" s="5" t="s">
        <v>397</v>
      </c>
      <c r="E191" s="5">
        <v>69</v>
      </c>
      <c r="F191" s="5" t="s">
        <v>398</v>
      </c>
      <c r="G191" s="6" t="s">
        <v>222</v>
      </c>
      <c r="H191" s="5">
        <v>3.6563099999999999</v>
      </c>
      <c r="I191" s="5">
        <v>21</v>
      </c>
      <c r="J191" s="5" t="s">
        <v>1278</v>
      </c>
      <c r="K191" s="5" t="s">
        <v>1327</v>
      </c>
      <c r="L191" s="5" t="str" cm="1">
        <f t="array" ref="L191:L193">G191:G193</f>
        <v>t</v>
      </c>
      <c r="T191" s="5" cm="1">
        <f t="array" ref="T191:T193">H191:H193</f>
        <v>3.6563099999999999</v>
      </c>
      <c r="AB191" s="5" cm="1">
        <f t="array" ref="AB191:AB193">I191:I193</f>
        <v>21</v>
      </c>
    </row>
    <row r="192" spans="1:34" x14ac:dyDescent="0.25">
      <c r="A192" t="s">
        <v>399</v>
      </c>
      <c r="B192" s="5" t="s">
        <v>1319</v>
      </c>
      <c r="C192" s="5" t="s">
        <v>1347</v>
      </c>
      <c r="D192" t="s">
        <v>397</v>
      </c>
      <c r="E192">
        <v>69</v>
      </c>
      <c r="F192" t="s">
        <v>398</v>
      </c>
      <c r="G192" s="2" t="s">
        <v>222</v>
      </c>
      <c r="H192">
        <v>3.3961429999999999</v>
      </c>
      <c r="I192">
        <v>21</v>
      </c>
      <c r="J192" t="s">
        <v>1278</v>
      </c>
      <c r="K192" t="s">
        <v>1327</v>
      </c>
      <c r="L192" t="str">
        <v>t</v>
      </c>
      <c r="T192">
        <v>3.3961429999999999</v>
      </c>
      <c r="AB192">
        <v>21</v>
      </c>
    </row>
    <row r="193" spans="1:33" x14ac:dyDescent="0.25">
      <c r="A193" t="s">
        <v>400</v>
      </c>
      <c r="B193" s="5" t="s">
        <v>1319</v>
      </c>
      <c r="C193" s="5" t="s">
        <v>1347</v>
      </c>
      <c r="D193" t="s">
        <v>397</v>
      </c>
      <c r="E193">
        <v>69</v>
      </c>
      <c r="F193" t="s">
        <v>401</v>
      </c>
      <c r="G193" s="2" t="s">
        <v>222</v>
      </c>
      <c r="H193">
        <v>3.6403110000000001</v>
      </c>
      <c r="I193">
        <v>20</v>
      </c>
      <c r="J193" t="s">
        <v>1278</v>
      </c>
      <c r="K193" t="s">
        <v>1327</v>
      </c>
      <c r="L193" t="str">
        <v>t</v>
      </c>
      <c r="T193">
        <v>3.6403110000000001</v>
      </c>
      <c r="AB193">
        <v>20</v>
      </c>
    </row>
    <row r="194" spans="1:33" x14ac:dyDescent="0.25">
      <c r="A194" t="s">
        <v>402</v>
      </c>
      <c r="B194" s="5" t="s">
        <v>1319</v>
      </c>
      <c r="C194" s="5" t="s">
        <v>1347</v>
      </c>
      <c r="D194" t="s">
        <v>397</v>
      </c>
      <c r="E194">
        <v>79</v>
      </c>
      <c r="F194" t="s">
        <v>403</v>
      </c>
      <c r="G194" s="2" t="s">
        <v>223</v>
      </c>
      <c r="H194">
        <v>45.218217000000003</v>
      </c>
      <c r="I194">
        <v>223</v>
      </c>
      <c r="J194" t="s">
        <v>1278</v>
      </c>
      <c r="K194" t="s">
        <v>1327</v>
      </c>
      <c r="M194" t="str" cm="1">
        <f t="array" ref="M194:M196">G194:G196</f>
        <v>f</v>
      </c>
      <c r="U194" cm="1">
        <f t="array" ref="U194:U196">H194:H196</f>
        <v>45.218217000000003</v>
      </c>
      <c r="AC194" cm="1">
        <f t="array" ref="AC194:AC196">I194:I196</f>
        <v>223</v>
      </c>
    </row>
    <row r="195" spans="1:33" x14ac:dyDescent="0.25">
      <c r="A195" t="s">
        <v>404</v>
      </c>
      <c r="B195" s="5" t="s">
        <v>1319</v>
      </c>
      <c r="C195" s="5" t="s">
        <v>1347</v>
      </c>
      <c r="D195" t="s">
        <v>397</v>
      </c>
      <c r="E195">
        <v>79</v>
      </c>
      <c r="F195" t="s">
        <v>405</v>
      </c>
      <c r="G195" s="2" t="s">
        <v>222</v>
      </c>
      <c r="H195">
        <v>36.214154000000001</v>
      </c>
      <c r="I195">
        <v>174</v>
      </c>
      <c r="J195" t="s">
        <v>1278</v>
      </c>
      <c r="K195" t="s">
        <v>1327</v>
      </c>
      <c r="M195" t="str">
        <v>t</v>
      </c>
      <c r="U195">
        <v>36.214154000000001</v>
      </c>
      <c r="AC195">
        <v>174</v>
      </c>
    </row>
    <row r="196" spans="1:33" x14ac:dyDescent="0.25">
      <c r="A196" t="s">
        <v>406</v>
      </c>
      <c r="B196" s="5" t="s">
        <v>1319</v>
      </c>
      <c r="C196" s="5" t="s">
        <v>1347</v>
      </c>
      <c r="D196" t="s">
        <v>397</v>
      </c>
      <c r="E196">
        <v>79</v>
      </c>
      <c r="F196" t="s">
        <v>407</v>
      </c>
      <c r="G196" s="2" t="s">
        <v>223</v>
      </c>
      <c r="H196">
        <v>66.102748000000005</v>
      </c>
      <c r="I196">
        <v>323</v>
      </c>
      <c r="J196" t="s">
        <v>1278</v>
      </c>
      <c r="K196" t="s">
        <v>1327</v>
      </c>
      <c r="M196" t="str">
        <v>f</v>
      </c>
      <c r="U196">
        <v>66.102748000000005</v>
      </c>
      <c r="AC196">
        <v>323</v>
      </c>
    </row>
    <row r="197" spans="1:33" x14ac:dyDescent="0.25">
      <c r="A197" t="s">
        <v>408</v>
      </c>
      <c r="B197" s="5" t="s">
        <v>1319</v>
      </c>
      <c r="C197" s="5" t="s">
        <v>1347</v>
      </c>
      <c r="D197" t="s">
        <v>397</v>
      </c>
      <c r="E197">
        <v>134</v>
      </c>
      <c r="F197" t="s">
        <v>409</v>
      </c>
      <c r="G197" s="2" t="s">
        <v>222</v>
      </c>
      <c r="H197">
        <v>42.175086999999998</v>
      </c>
      <c r="I197">
        <v>206</v>
      </c>
      <c r="J197" t="s">
        <v>1278</v>
      </c>
      <c r="K197" t="s">
        <v>1327</v>
      </c>
      <c r="N197" t="str" cm="1">
        <f t="array" ref="N197:N199">G197:G199</f>
        <v>t</v>
      </c>
      <c r="V197" cm="1">
        <f t="array" ref="V197:V199">H197:H199</f>
        <v>42.175086999999998</v>
      </c>
      <c r="AD197" cm="1">
        <f t="array" ref="AD197:AD199">I197:I199</f>
        <v>206</v>
      </c>
    </row>
    <row r="198" spans="1:33" x14ac:dyDescent="0.25">
      <c r="A198" t="s">
        <v>410</v>
      </c>
      <c r="B198" s="5" t="s">
        <v>1319</v>
      </c>
      <c r="C198" s="5" t="s">
        <v>1347</v>
      </c>
      <c r="D198" t="s">
        <v>397</v>
      </c>
      <c r="E198">
        <v>134</v>
      </c>
      <c r="F198" t="s">
        <v>411</v>
      </c>
      <c r="G198" s="2" t="s">
        <v>223</v>
      </c>
      <c r="H198">
        <v>28.649495999999999</v>
      </c>
      <c r="I198">
        <v>142</v>
      </c>
      <c r="J198" t="s">
        <v>1278</v>
      </c>
      <c r="K198" t="s">
        <v>1327</v>
      </c>
      <c r="N198" t="str">
        <v>f</v>
      </c>
      <c r="V198">
        <v>28.649495999999999</v>
      </c>
      <c r="AD198">
        <v>142</v>
      </c>
    </row>
    <row r="199" spans="1:33" x14ac:dyDescent="0.25">
      <c r="A199" t="s">
        <v>412</v>
      </c>
      <c r="B199" s="5" t="s">
        <v>1319</v>
      </c>
      <c r="C199" s="5" t="s">
        <v>1347</v>
      </c>
      <c r="D199" t="s">
        <v>397</v>
      </c>
      <c r="E199">
        <v>134</v>
      </c>
      <c r="F199" t="s">
        <v>413</v>
      </c>
      <c r="G199" s="2" t="s">
        <v>222</v>
      </c>
      <c r="H199">
        <v>38.157550999999998</v>
      </c>
      <c r="I199">
        <v>186</v>
      </c>
      <c r="J199" t="s">
        <v>1278</v>
      </c>
      <c r="K199" t="s">
        <v>1327</v>
      </c>
      <c r="N199" t="str">
        <v>t</v>
      </c>
      <c r="V199">
        <v>38.157550999999998</v>
      </c>
      <c r="AD199">
        <v>186</v>
      </c>
    </row>
    <row r="200" spans="1:33" x14ac:dyDescent="0.25">
      <c r="A200" t="s">
        <v>414</v>
      </c>
      <c r="B200" s="5" t="s">
        <v>1319</v>
      </c>
      <c r="C200" s="5" t="s">
        <v>1347</v>
      </c>
      <c r="D200" t="s">
        <v>397</v>
      </c>
      <c r="E200">
        <v>107</v>
      </c>
      <c r="F200" t="s">
        <v>415</v>
      </c>
      <c r="G200" s="2" t="s">
        <v>223</v>
      </c>
      <c r="H200">
        <v>35.523017000000003</v>
      </c>
      <c r="I200">
        <v>174</v>
      </c>
      <c r="J200" t="s">
        <v>1278</v>
      </c>
      <c r="K200" t="s">
        <v>1327</v>
      </c>
      <c r="O200" t="str" cm="1">
        <f t="array" ref="O200:O202">G200:G202</f>
        <v>f</v>
      </c>
      <c r="W200" cm="1">
        <f t="array" ref="W200:W202">H200:H202</f>
        <v>35.523017000000003</v>
      </c>
      <c r="AE200" cm="1">
        <f t="array" ref="AE200:AE202">I200:I202</f>
        <v>174</v>
      </c>
    </row>
    <row r="201" spans="1:33" x14ac:dyDescent="0.25">
      <c r="A201" t="s">
        <v>416</v>
      </c>
      <c r="B201" s="5" t="s">
        <v>1319</v>
      </c>
      <c r="C201" s="5" t="s">
        <v>1347</v>
      </c>
      <c r="D201" t="s">
        <v>397</v>
      </c>
      <c r="E201">
        <v>107</v>
      </c>
      <c r="F201" t="s">
        <v>417</v>
      </c>
      <c r="G201" s="2" t="s">
        <v>222</v>
      </c>
      <c r="H201">
        <v>19.075678</v>
      </c>
      <c r="I201">
        <v>95</v>
      </c>
      <c r="J201" t="s">
        <v>1278</v>
      </c>
      <c r="K201" t="s">
        <v>1327</v>
      </c>
      <c r="O201" t="str">
        <v>t</v>
      </c>
      <c r="W201">
        <v>19.075678</v>
      </c>
      <c r="AE201">
        <v>95</v>
      </c>
    </row>
    <row r="202" spans="1:33" x14ac:dyDescent="0.25">
      <c r="A202" t="s">
        <v>418</v>
      </c>
      <c r="B202" s="5" t="s">
        <v>1319</v>
      </c>
      <c r="C202" s="5" t="s">
        <v>1347</v>
      </c>
      <c r="D202" t="s">
        <v>397</v>
      </c>
      <c r="E202">
        <v>107</v>
      </c>
      <c r="F202" t="s">
        <v>419</v>
      </c>
      <c r="G202" s="2" t="s">
        <v>222</v>
      </c>
      <c r="H202">
        <v>21.227530000000002</v>
      </c>
      <c r="I202">
        <v>103</v>
      </c>
      <c r="J202" t="s">
        <v>1278</v>
      </c>
      <c r="K202" t="s">
        <v>1327</v>
      </c>
      <c r="O202" t="str">
        <v>t</v>
      </c>
      <c r="W202">
        <v>21.227530000000002</v>
      </c>
      <c r="AE202">
        <v>103</v>
      </c>
    </row>
    <row r="203" spans="1:33" x14ac:dyDescent="0.25">
      <c r="A203" s="1" t="s">
        <v>420</v>
      </c>
      <c r="B203" s="5" t="s">
        <v>1319</v>
      </c>
      <c r="C203" s="5" t="s">
        <v>1347</v>
      </c>
      <c r="D203" t="s">
        <v>397</v>
      </c>
      <c r="E203">
        <v>105</v>
      </c>
      <c r="F203" t="s">
        <v>421</v>
      </c>
      <c r="G203" s="2" t="s">
        <v>222</v>
      </c>
      <c r="H203">
        <v>28.931545</v>
      </c>
      <c r="I203">
        <v>144</v>
      </c>
      <c r="J203" t="s">
        <v>1278</v>
      </c>
      <c r="K203" t="s">
        <v>1327</v>
      </c>
      <c r="P203" t="str" cm="1">
        <f t="array" ref="P203:P205">G203:G205</f>
        <v>t</v>
      </c>
      <c r="X203" cm="1">
        <f t="array" ref="X203:X205">H203:H205</f>
        <v>28.931545</v>
      </c>
      <c r="AF203" cm="1">
        <f t="array" ref="AF203:AF205">I203:I205</f>
        <v>144</v>
      </c>
    </row>
    <row r="204" spans="1:33" x14ac:dyDescent="0.25">
      <c r="A204" s="1" t="s">
        <v>422</v>
      </c>
      <c r="B204" s="5" t="s">
        <v>1319</v>
      </c>
      <c r="C204" s="5" t="s">
        <v>1347</v>
      </c>
      <c r="D204" t="s">
        <v>397</v>
      </c>
      <c r="E204">
        <v>105</v>
      </c>
      <c r="F204" t="s">
        <v>423</v>
      </c>
      <c r="G204" s="2" t="s">
        <v>222</v>
      </c>
      <c r="H204">
        <v>35.614730999999999</v>
      </c>
      <c r="I204">
        <v>176</v>
      </c>
      <c r="J204" t="s">
        <v>1278</v>
      </c>
      <c r="K204" t="s">
        <v>1327</v>
      </c>
      <c r="P204" t="str">
        <v>t</v>
      </c>
      <c r="X204">
        <v>35.614730999999999</v>
      </c>
      <c r="AF204">
        <v>176</v>
      </c>
    </row>
    <row r="205" spans="1:33" x14ac:dyDescent="0.25">
      <c r="A205" s="1" t="s">
        <v>424</v>
      </c>
      <c r="B205" s="5" t="s">
        <v>1319</v>
      </c>
      <c r="C205" s="5" t="s">
        <v>1347</v>
      </c>
      <c r="D205" t="s">
        <v>397</v>
      </c>
      <c r="E205">
        <v>105</v>
      </c>
      <c r="F205" t="s">
        <v>425</v>
      </c>
      <c r="G205" s="2" t="s">
        <v>222</v>
      </c>
      <c r="H205">
        <v>44.501711999999998</v>
      </c>
      <c r="I205">
        <v>215</v>
      </c>
      <c r="J205" t="s">
        <v>1278</v>
      </c>
      <c r="K205" t="s">
        <v>1327</v>
      </c>
      <c r="P205" t="str">
        <v>t</v>
      </c>
      <c r="X205">
        <v>44.501711999999998</v>
      </c>
      <c r="AF205">
        <v>215</v>
      </c>
    </row>
    <row r="206" spans="1:33" x14ac:dyDescent="0.25">
      <c r="A206" t="s">
        <v>426</v>
      </c>
      <c r="B206" s="5" t="s">
        <v>1319</v>
      </c>
      <c r="C206" s="5" t="s">
        <v>1347</v>
      </c>
      <c r="D206" t="s">
        <v>397</v>
      </c>
      <c r="E206">
        <v>106</v>
      </c>
      <c r="F206" t="s">
        <v>427</v>
      </c>
      <c r="G206" s="2" t="s">
        <v>222</v>
      </c>
      <c r="H206">
        <v>7.4588970000000003</v>
      </c>
      <c r="I206">
        <v>39</v>
      </c>
      <c r="J206" t="s">
        <v>1278</v>
      </c>
      <c r="K206" t="s">
        <v>1327</v>
      </c>
      <c r="Q206" t="str" cm="1">
        <f t="array" ref="Q206:Q208">G206:G208</f>
        <v>t</v>
      </c>
      <c r="Y206" cm="1">
        <f t="array" ref="Y206:Y208">H206:H208</f>
        <v>7.4588970000000003</v>
      </c>
      <c r="AG206" cm="1">
        <f t="array" ref="AG206:AG208">I206:I208</f>
        <v>39</v>
      </c>
    </row>
    <row r="207" spans="1:33" x14ac:dyDescent="0.25">
      <c r="A207" t="s">
        <v>428</v>
      </c>
      <c r="B207" s="5" t="s">
        <v>1319</v>
      </c>
      <c r="C207" s="5" t="s">
        <v>1347</v>
      </c>
      <c r="D207" t="s">
        <v>397</v>
      </c>
      <c r="E207">
        <v>106</v>
      </c>
      <c r="F207" t="s">
        <v>429</v>
      </c>
      <c r="G207" s="2" t="s">
        <v>222</v>
      </c>
      <c r="H207">
        <v>38.911039000000002</v>
      </c>
      <c r="I207">
        <v>189</v>
      </c>
      <c r="J207" t="s">
        <v>1278</v>
      </c>
      <c r="K207" t="s">
        <v>1327</v>
      </c>
      <c r="Q207" t="str">
        <v>t</v>
      </c>
      <c r="Y207">
        <v>38.911039000000002</v>
      </c>
      <c r="AG207">
        <v>189</v>
      </c>
    </row>
    <row r="208" spans="1:33" x14ac:dyDescent="0.25">
      <c r="A208" t="s">
        <v>430</v>
      </c>
      <c r="B208" s="5" t="s">
        <v>1319</v>
      </c>
      <c r="C208" s="5" t="s">
        <v>1347</v>
      </c>
      <c r="D208" t="s">
        <v>397</v>
      </c>
      <c r="E208">
        <v>106</v>
      </c>
      <c r="F208" t="s">
        <v>431</v>
      </c>
      <c r="G208" s="2" t="s">
        <v>222</v>
      </c>
      <c r="H208">
        <v>48.780524999999997</v>
      </c>
      <c r="I208">
        <v>239</v>
      </c>
      <c r="J208" t="s">
        <v>1278</v>
      </c>
      <c r="K208" t="s">
        <v>1327</v>
      </c>
      <c r="Q208" t="str">
        <v>t</v>
      </c>
      <c r="Y208">
        <v>48.780524999999997</v>
      </c>
      <c r="AG208">
        <v>239</v>
      </c>
    </row>
    <row r="209" spans="1:34" x14ac:dyDescent="0.25">
      <c r="A209" t="s">
        <v>432</v>
      </c>
      <c r="B209" s="5" t="s">
        <v>1319</v>
      </c>
      <c r="C209" s="5" t="s">
        <v>1347</v>
      </c>
      <c r="D209" t="s">
        <v>397</v>
      </c>
      <c r="E209">
        <v>110</v>
      </c>
      <c r="F209" t="s">
        <v>433</v>
      </c>
      <c r="G209" s="2" t="s">
        <v>222</v>
      </c>
      <c r="H209">
        <v>62.033743999999999</v>
      </c>
      <c r="I209">
        <v>309</v>
      </c>
      <c r="J209" t="s">
        <v>1278</v>
      </c>
      <c r="K209" t="s">
        <v>1327</v>
      </c>
      <c r="R209" t="str" cm="1">
        <f t="array" ref="R209:R211">G209:G211</f>
        <v>t</v>
      </c>
      <c r="Z209" cm="1">
        <f t="array" ref="Z209:Z211">H209:H211</f>
        <v>62.033743999999999</v>
      </c>
      <c r="AH209" cm="1">
        <f t="array" ref="AH209:AH211">I209:I211</f>
        <v>309</v>
      </c>
    </row>
    <row r="210" spans="1:34" x14ac:dyDescent="0.25">
      <c r="A210" t="s">
        <v>434</v>
      </c>
      <c r="B210" s="5" t="s">
        <v>1319</v>
      </c>
      <c r="C210" s="5" t="s">
        <v>1347</v>
      </c>
      <c r="D210" t="s">
        <v>397</v>
      </c>
      <c r="E210">
        <v>110</v>
      </c>
      <c r="F210" t="s">
        <v>435</v>
      </c>
      <c r="G210" s="2" t="s">
        <v>222</v>
      </c>
      <c r="H210">
        <v>33.691529000000003</v>
      </c>
      <c r="I210">
        <v>179</v>
      </c>
      <c r="J210" t="s">
        <v>1278</v>
      </c>
      <c r="K210" t="s">
        <v>1327</v>
      </c>
      <c r="R210" t="str">
        <v>t</v>
      </c>
      <c r="Z210">
        <v>33.691529000000003</v>
      </c>
      <c r="AH210">
        <v>179</v>
      </c>
    </row>
    <row r="211" spans="1:34" s="3" customFormat="1" x14ac:dyDescent="0.25">
      <c r="A211" s="3" t="s">
        <v>436</v>
      </c>
      <c r="B211" s="5" t="s">
        <v>1319</v>
      </c>
      <c r="C211" s="5" t="s">
        <v>1347</v>
      </c>
      <c r="D211" s="3" t="s">
        <v>397</v>
      </c>
      <c r="E211" s="3">
        <v>110</v>
      </c>
      <c r="F211" s="3" t="s">
        <v>437</v>
      </c>
      <c r="G211" s="4" t="s">
        <v>222</v>
      </c>
      <c r="H211" s="3">
        <v>35.533465999999997</v>
      </c>
      <c r="I211" s="3">
        <v>193</v>
      </c>
      <c r="J211" s="3" t="s">
        <v>1278</v>
      </c>
      <c r="K211" s="3" t="s">
        <v>1327</v>
      </c>
      <c r="R211" s="3" t="str">
        <v>t</v>
      </c>
      <c r="Z211" s="3">
        <v>35.533465999999997</v>
      </c>
      <c r="AH211" s="3">
        <v>193</v>
      </c>
    </row>
    <row r="212" spans="1:34" s="5" customFormat="1" x14ac:dyDescent="0.25">
      <c r="A212" s="5" t="s">
        <v>438</v>
      </c>
      <c r="B212" s="5" t="s">
        <v>1319</v>
      </c>
      <c r="C212" s="5" t="s">
        <v>1347</v>
      </c>
      <c r="D212" s="5" t="s">
        <v>439</v>
      </c>
      <c r="E212" s="5">
        <v>70</v>
      </c>
      <c r="F212" s="5" t="s">
        <v>440</v>
      </c>
      <c r="G212" s="6" t="s">
        <v>222</v>
      </c>
      <c r="H212" s="5">
        <v>2.5757189999999999</v>
      </c>
      <c r="I212" s="5">
        <v>17</v>
      </c>
      <c r="J212" s="5" t="s">
        <v>1279</v>
      </c>
      <c r="K212" s="5" t="s">
        <v>1327</v>
      </c>
      <c r="L212" s="5" t="str" cm="1">
        <f t="array" ref="L212:L214">G212:G214</f>
        <v>t</v>
      </c>
      <c r="T212" s="5" cm="1">
        <f t="array" ref="T212:T214">H212:H214</f>
        <v>2.5757189999999999</v>
      </c>
      <c r="AB212" s="5" cm="1">
        <f t="array" ref="AB212:AB214">I212:I214</f>
        <v>17</v>
      </c>
    </row>
    <row r="213" spans="1:34" x14ac:dyDescent="0.25">
      <c r="A213" t="s">
        <v>441</v>
      </c>
      <c r="B213" s="5" t="s">
        <v>1319</v>
      </c>
      <c r="C213" s="5" t="s">
        <v>1347</v>
      </c>
      <c r="D213" t="s">
        <v>439</v>
      </c>
      <c r="E213">
        <v>70</v>
      </c>
      <c r="F213" t="s">
        <v>442</v>
      </c>
      <c r="G213" s="2" t="s">
        <v>222</v>
      </c>
      <c r="H213">
        <v>2.7557770000000001</v>
      </c>
      <c r="I213">
        <v>18</v>
      </c>
      <c r="J213" t="s">
        <v>1279</v>
      </c>
      <c r="K213" t="s">
        <v>1327</v>
      </c>
      <c r="L213" t="str">
        <v>t</v>
      </c>
      <c r="T213">
        <v>2.7557770000000001</v>
      </c>
      <c r="AB213">
        <v>18</v>
      </c>
    </row>
    <row r="214" spans="1:34" x14ac:dyDescent="0.25">
      <c r="A214" t="s">
        <v>443</v>
      </c>
      <c r="B214" s="5" t="s">
        <v>1319</v>
      </c>
      <c r="C214" s="5" t="s">
        <v>1347</v>
      </c>
      <c r="D214" t="s">
        <v>439</v>
      </c>
      <c r="E214">
        <v>70</v>
      </c>
      <c r="F214" t="s">
        <v>444</v>
      </c>
      <c r="G214" s="2" t="s">
        <v>223</v>
      </c>
      <c r="H214">
        <v>2.451953</v>
      </c>
      <c r="I214">
        <v>17</v>
      </c>
      <c r="J214" t="s">
        <v>1279</v>
      </c>
      <c r="K214" t="s">
        <v>1327</v>
      </c>
      <c r="L214" t="str">
        <v>f</v>
      </c>
      <c r="T214">
        <v>2.451953</v>
      </c>
      <c r="AB214">
        <v>17</v>
      </c>
    </row>
    <row r="215" spans="1:34" x14ac:dyDescent="0.25">
      <c r="A215" t="s">
        <v>445</v>
      </c>
      <c r="B215" s="5" t="s">
        <v>1319</v>
      </c>
      <c r="C215" s="5" t="s">
        <v>1347</v>
      </c>
      <c r="D215" t="s">
        <v>439</v>
      </c>
      <c r="E215">
        <v>80</v>
      </c>
      <c r="F215" t="s">
        <v>446</v>
      </c>
      <c r="G215" s="2" t="s">
        <v>222</v>
      </c>
      <c r="H215">
        <v>43.231994999999998</v>
      </c>
      <c r="I215">
        <v>219</v>
      </c>
      <c r="J215" t="s">
        <v>1279</v>
      </c>
      <c r="K215" t="s">
        <v>1327</v>
      </c>
      <c r="M215" t="str" cm="1">
        <f t="array" ref="M215:M217">G215:G217</f>
        <v>t</v>
      </c>
      <c r="U215" cm="1">
        <f t="array" ref="U215:U217">H215:H217</f>
        <v>43.231994999999998</v>
      </c>
      <c r="AC215" cm="1">
        <f t="array" ref="AC215:AC217">I215:I217</f>
        <v>219</v>
      </c>
    </row>
    <row r="216" spans="1:34" x14ac:dyDescent="0.25">
      <c r="A216" t="s">
        <v>447</v>
      </c>
      <c r="B216" s="5" t="s">
        <v>1319</v>
      </c>
      <c r="C216" s="5" t="s">
        <v>1347</v>
      </c>
      <c r="D216" t="s">
        <v>439</v>
      </c>
      <c r="E216">
        <v>80</v>
      </c>
      <c r="F216" t="s">
        <v>448</v>
      </c>
      <c r="G216" s="2" t="s">
        <v>223</v>
      </c>
      <c r="H216">
        <v>48.420205000000003</v>
      </c>
      <c r="I216">
        <v>258</v>
      </c>
      <c r="J216" t="s">
        <v>1279</v>
      </c>
      <c r="K216" t="s">
        <v>1327</v>
      </c>
      <c r="M216" t="str">
        <v>f</v>
      </c>
      <c r="U216">
        <v>48.420205000000003</v>
      </c>
      <c r="AC216">
        <v>258</v>
      </c>
    </row>
    <row r="217" spans="1:34" x14ac:dyDescent="0.25">
      <c r="A217" t="s">
        <v>449</v>
      </c>
      <c r="B217" s="5" t="s">
        <v>1319</v>
      </c>
      <c r="C217" s="5" t="s">
        <v>1347</v>
      </c>
      <c r="D217" t="s">
        <v>439</v>
      </c>
      <c r="E217">
        <v>80</v>
      </c>
      <c r="F217" t="s">
        <v>450</v>
      </c>
      <c r="G217" s="2" t="s">
        <v>223</v>
      </c>
      <c r="H217">
        <v>43.069991999999999</v>
      </c>
      <c r="I217">
        <v>220</v>
      </c>
      <c r="J217" t="s">
        <v>1279</v>
      </c>
      <c r="K217" t="s">
        <v>1327</v>
      </c>
      <c r="M217" t="str">
        <v>f</v>
      </c>
      <c r="U217">
        <v>43.069991999999999</v>
      </c>
      <c r="AC217">
        <v>220</v>
      </c>
    </row>
    <row r="218" spans="1:34" x14ac:dyDescent="0.25">
      <c r="A218" t="s">
        <v>451</v>
      </c>
      <c r="B218" s="5" t="s">
        <v>1319</v>
      </c>
      <c r="C218" s="5" t="s">
        <v>1347</v>
      </c>
      <c r="D218" t="s">
        <v>439</v>
      </c>
      <c r="E218">
        <v>135</v>
      </c>
      <c r="F218" t="s">
        <v>452</v>
      </c>
      <c r="G218" s="2" t="s">
        <v>223</v>
      </c>
      <c r="H218">
        <v>54.482013999999999</v>
      </c>
      <c r="I218">
        <v>278</v>
      </c>
      <c r="J218" t="s">
        <v>1279</v>
      </c>
      <c r="K218" t="s">
        <v>1327</v>
      </c>
      <c r="N218" t="str" cm="1">
        <f t="array" ref="N218:N220">G218:G220</f>
        <v>f</v>
      </c>
      <c r="V218" cm="1">
        <f t="array" ref="V218:V220">H218:H220</f>
        <v>54.482013999999999</v>
      </c>
      <c r="AD218" cm="1">
        <f t="array" ref="AD218:AD220">I218:I220</f>
        <v>278</v>
      </c>
    </row>
    <row r="219" spans="1:34" x14ac:dyDescent="0.25">
      <c r="A219" t="s">
        <v>453</v>
      </c>
      <c r="B219" s="5" t="s">
        <v>1319</v>
      </c>
      <c r="C219" s="5" t="s">
        <v>1347</v>
      </c>
      <c r="D219" t="s">
        <v>439</v>
      </c>
      <c r="E219">
        <v>135</v>
      </c>
      <c r="F219" t="s">
        <v>454</v>
      </c>
      <c r="G219" s="2" t="s">
        <v>223</v>
      </c>
      <c r="H219">
        <v>55.770941000000001</v>
      </c>
      <c r="I219">
        <v>290</v>
      </c>
      <c r="J219" t="s">
        <v>1279</v>
      </c>
      <c r="K219" t="s">
        <v>1327</v>
      </c>
      <c r="N219" t="str">
        <v>f</v>
      </c>
      <c r="V219">
        <v>55.770941000000001</v>
      </c>
      <c r="AD219">
        <v>290</v>
      </c>
    </row>
    <row r="220" spans="1:34" x14ac:dyDescent="0.25">
      <c r="A220" t="s">
        <v>455</v>
      </c>
      <c r="B220" s="5" t="s">
        <v>1319</v>
      </c>
      <c r="C220" s="5" t="s">
        <v>1347</v>
      </c>
      <c r="D220" t="s">
        <v>439</v>
      </c>
      <c r="E220">
        <v>135</v>
      </c>
      <c r="F220" t="s">
        <v>456</v>
      </c>
      <c r="G220" s="2" t="s">
        <v>222</v>
      </c>
      <c r="H220">
        <v>48.543765</v>
      </c>
      <c r="I220">
        <v>247</v>
      </c>
      <c r="J220" t="s">
        <v>1279</v>
      </c>
      <c r="K220" t="s">
        <v>1327</v>
      </c>
      <c r="N220" t="str">
        <v>t</v>
      </c>
      <c r="V220">
        <v>48.543765</v>
      </c>
      <c r="AD220">
        <v>247</v>
      </c>
    </row>
    <row r="221" spans="1:34" x14ac:dyDescent="0.25">
      <c r="A221" t="s">
        <v>457</v>
      </c>
      <c r="B221" s="5" t="s">
        <v>1319</v>
      </c>
      <c r="C221" s="5" t="s">
        <v>1347</v>
      </c>
      <c r="D221" t="s">
        <v>439</v>
      </c>
      <c r="E221">
        <v>108</v>
      </c>
      <c r="F221" t="s">
        <v>458</v>
      </c>
      <c r="G221" s="2" t="s">
        <v>223</v>
      </c>
      <c r="H221">
        <v>15.135698</v>
      </c>
      <c r="I221">
        <v>79</v>
      </c>
      <c r="J221" t="s">
        <v>1279</v>
      </c>
      <c r="K221" t="s">
        <v>1327</v>
      </c>
      <c r="O221" t="str" cm="1">
        <f t="array" ref="O221:O223">G221:G223</f>
        <v>f</v>
      </c>
      <c r="W221" cm="1">
        <f t="array" ref="W221:W223">H221:H223</f>
        <v>15.135698</v>
      </c>
      <c r="AE221" cm="1">
        <f t="array" ref="AE221:AE223">I221:I223</f>
        <v>79</v>
      </c>
    </row>
    <row r="222" spans="1:34" x14ac:dyDescent="0.25">
      <c r="A222" t="s">
        <v>459</v>
      </c>
      <c r="B222" s="5" t="s">
        <v>1319</v>
      </c>
      <c r="C222" s="5" t="s">
        <v>1347</v>
      </c>
      <c r="D222" t="s">
        <v>439</v>
      </c>
      <c r="E222">
        <v>108</v>
      </c>
      <c r="F222" t="s">
        <v>460</v>
      </c>
      <c r="G222" s="2" t="s">
        <v>223</v>
      </c>
      <c r="H222">
        <v>37.960056999999999</v>
      </c>
      <c r="I222">
        <v>199</v>
      </c>
      <c r="J222" t="s">
        <v>1279</v>
      </c>
      <c r="K222" t="s">
        <v>1327</v>
      </c>
      <c r="O222" t="str">
        <v>f</v>
      </c>
      <c r="W222">
        <v>37.960056999999999</v>
      </c>
      <c r="AE222">
        <v>199</v>
      </c>
    </row>
    <row r="223" spans="1:34" x14ac:dyDescent="0.25">
      <c r="A223" t="s">
        <v>461</v>
      </c>
      <c r="B223" s="5" t="s">
        <v>1319</v>
      </c>
      <c r="C223" s="5" t="s">
        <v>1347</v>
      </c>
      <c r="D223" t="s">
        <v>439</v>
      </c>
      <c r="E223">
        <v>108</v>
      </c>
      <c r="F223" t="s">
        <v>462</v>
      </c>
      <c r="G223" s="2" t="s">
        <v>223</v>
      </c>
      <c r="H223">
        <v>24.711046</v>
      </c>
      <c r="I223">
        <v>124</v>
      </c>
      <c r="J223" t="s">
        <v>1279</v>
      </c>
      <c r="K223" t="s">
        <v>1327</v>
      </c>
      <c r="O223" t="str">
        <v>f</v>
      </c>
      <c r="W223">
        <v>24.711046</v>
      </c>
      <c r="AE223">
        <v>124</v>
      </c>
    </row>
    <row r="224" spans="1:34" x14ac:dyDescent="0.25">
      <c r="A224" s="1" t="s">
        <v>463</v>
      </c>
      <c r="B224" s="5" t="s">
        <v>1319</v>
      </c>
      <c r="C224" s="5" t="s">
        <v>1347</v>
      </c>
      <c r="D224" t="s">
        <v>439</v>
      </c>
      <c r="E224">
        <v>106</v>
      </c>
      <c r="F224" t="s">
        <v>464</v>
      </c>
      <c r="G224" s="2" t="s">
        <v>222</v>
      </c>
      <c r="H224">
        <v>25.413841000000001</v>
      </c>
      <c r="I224">
        <v>133</v>
      </c>
      <c r="J224" t="s">
        <v>1279</v>
      </c>
      <c r="K224" t="s">
        <v>1327</v>
      </c>
      <c r="P224" t="str" cm="1">
        <f t="array" ref="P224:P226">G224:G226</f>
        <v>t</v>
      </c>
      <c r="X224" cm="1">
        <f t="array" ref="X224:X226">H224:H226</f>
        <v>25.413841000000001</v>
      </c>
      <c r="AF224" cm="1">
        <f t="array" ref="AF224:AF226">I224:I226</f>
        <v>133</v>
      </c>
    </row>
    <row r="225" spans="1:34" x14ac:dyDescent="0.25">
      <c r="A225" s="1" t="s">
        <v>465</v>
      </c>
      <c r="B225" s="5" t="s">
        <v>1319</v>
      </c>
      <c r="C225" s="5" t="s">
        <v>1347</v>
      </c>
      <c r="D225" t="s">
        <v>439</v>
      </c>
      <c r="E225">
        <v>106</v>
      </c>
      <c r="F225" t="s">
        <v>466</v>
      </c>
      <c r="G225" s="2" t="s">
        <v>223</v>
      </c>
      <c r="H225">
        <v>33.567292999999999</v>
      </c>
      <c r="I225">
        <v>172</v>
      </c>
      <c r="J225" t="s">
        <v>1279</v>
      </c>
      <c r="K225" t="s">
        <v>1327</v>
      </c>
      <c r="P225" t="str">
        <v>f</v>
      </c>
      <c r="X225">
        <v>33.567292999999999</v>
      </c>
      <c r="AF225">
        <v>172</v>
      </c>
    </row>
    <row r="226" spans="1:34" x14ac:dyDescent="0.25">
      <c r="A226" s="1" t="s">
        <v>467</v>
      </c>
      <c r="B226" s="5" t="s">
        <v>1319</v>
      </c>
      <c r="C226" s="5" t="s">
        <v>1347</v>
      </c>
      <c r="D226" t="s">
        <v>439</v>
      </c>
      <c r="E226">
        <v>106</v>
      </c>
      <c r="F226" t="s">
        <v>468</v>
      </c>
      <c r="G226" s="2" t="s">
        <v>222</v>
      </c>
      <c r="H226">
        <v>32.686765999999999</v>
      </c>
      <c r="I226">
        <v>166</v>
      </c>
      <c r="J226" t="s">
        <v>1279</v>
      </c>
      <c r="K226" t="s">
        <v>1327</v>
      </c>
      <c r="P226" t="str">
        <v>t</v>
      </c>
      <c r="X226">
        <v>32.686765999999999</v>
      </c>
      <c r="AF226">
        <v>166</v>
      </c>
    </row>
    <row r="227" spans="1:34" x14ac:dyDescent="0.25">
      <c r="A227" t="s">
        <v>469</v>
      </c>
      <c r="B227" s="5" t="s">
        <v>1319</v>
      </c>
      <c r="C227" s="5" t="s">
        <v>1347</v>
      </c>
      <c r="D227" t="s">
        <v>439</v>
      </c>
      <c r="E227">
        <v>107</v>
      </c>
      <c r="F227" t="s">
        <v>470</v>
      </c>
      <c r="G227" s="2" t="s">
        <v>222</v>
      </c>
      <c r="H227">
        <v>47.179470000000002</v>
      </c>
      <c r="I227">
        <v>235</v>
      </c>
      <c r="J227" t="s">
        <v>1279</v>
      </c>
      <c r="K227" t="s">
        <v>1327</v>
      </c>
      <c r="Q227" t="str" cm="1">
        <f t="array" ref="Q227:Q229">G227:G229</f>
        <v>t</v>
      </c>
      <c r="Y227" cm="1">
        <f t="array" ref="Y227:Y229">H227:H229</f>
        <v>47.179470000000002</v>
      </c>
      <c r="AG227" cm="1">
        <f t="array" ref="AG227:AG229">I227:I229</f>
        <v>235</v>
      </c>
    </row>
    <row r="228" spans="1:34" x14ac:dyDescent="0.25">
      <c r="A228" t="s">
        <v>471</v>
      </c>
      <c r="B228" s="5" t="s">
        <v>1319</v>
      </c>
      <c r="C228" s="5" t="s">
        <v>1347</v>
      </c>
      <c r="D228" t="s">
        <v>439</v>
      </c>
      <c r="E228">
        <v>107</v>
      </c>
      <c r="F228" t="s">
        <v>472</v>
      </c>
      <c r="G228" s="2" t="s">
        <v>223</v>
      </c>
      <c r="H228">
        <v>65.502876000000001</v>
      </c>
      <c r="I228">
        <v>341</v>
      </c>
      <c r="J228" t="s">
        <v>1279</v>
      </c>
      <c r="K228" t="s">
        <v>1327</v>
      </c>
      <c r="Q228" t="str">
        <v>f</v>
      </c>
      <c r="Y228">
        <v>65.502876000000001</v>
      </c>
      <c r="AG228">
        <v>341</v>
      </c>
    </row>
    <row r="229" spans="1:34" x14ac:dyDescent="0.25">
      <c r="A229" t="s">
        <v>473</v>
      </c>
      <c r="B229" s="5" t="s">
        <v>1319</v>
      </c>
      <c r="C229" s="5" t="s">
        <v>1347</v>
      </c>
      <c r="D229" t="s">
        <v>439</v>
      </c>
      <c r="E229">
        <v>107</v>
      </c>
      <c r="F229" t="s">
        <v>474</v>
      </c>
      <c r="G229" s="2" t="s">
        <v>222</v>
      </c>
      <c r="H229">
        <v>32.351218000000003</v>
      </c>
      <c r="I229">
        <v>168</v>
      </c>
      <c r="J229" t="s">
        <v>1279</v>
      </c>
      <c r="K229" t="s">
        <v>1327</v>
      </c>
      <c r="Q229" t="str">
        <v>t</v>
      </c>
      <c r="Y229">
        <v>32.351218000000003</v>
      </c>
      <c r="AG229">
        <v>168</v>
      </c>
    </row>
    <row r="230" spans="1:34" x14ac:dyDescent="0.25">
      <c r="A230" t="s">
        <v>475</v>
      </c>
      <c r="B230" s="5" t="s">
        <v>1319</v>
      </c>
      <c r="C230" s="5" t="s">
        <v>1347</v>
      </c>
      <c r="D230" t="s">
        <v>439</v>
      </c>
      <c r="E230">
        <v>111</v>
      </c>
      <c r="F230" t="s">
        <v>476</v>
      </c>
      <c r="G230" s="2" t="s">
        <v>223</v>
      </c>
      <c r="H230">
        <v>41.529203000000003</v>
      </c>
      <c r="I230">
        <v>223</v>
      </c>
      <c r="J230" t="s">
        <v>1279</v>
      </c>
      <c r="K230" t="s">
        <v>1327</v>
      </c>
      <c r="R230" t="str" cm="1">
        <f t="array" ref="R230:R232">G230:G232</f>
        <v>f</v>
      </c>
      <c r="Z230" cm="1">
        <f t="array" ref="Z230:Z232">H230:H232</f>
        <v>41.529203000000003</v>
      </c>
      <c r="AH230" cm="1">
        <f t="array" ref="AH230:AH232">I230:I232</f>
        <v>223</v>
      </c>
    </row>
    <row r="231" spans="1:34" x14ac:dyDescent="0.25">
      <c r="A231" t="s">
        <v>477</v>
      </c>
      <c r="B231" s="5" t="s">
        <v>1319</v>
      </c>
      <c r="C231" s="5" t="s">
        <v>1347</v>
      </c>
      <c r="D231" t="s">
        <v>439</v>
      </c>
      <c r="E231">
        <v>111</v>
      </c>
      <c r="F231" t="s">
        <v>478</v>
      </c>
      <c r="G231" s="2" t="s">
        <v>222</v>
      </c>
      <c r="H231">
        <v>34.910066999999998</v>
      </c>
      <c r="I231">
        <v>184</v>
      </c>
      <c r="J231" t="s">
        <v>1279</v>
      </c>
      <c r="K231" t="s">
        <v>1327</v>
      </c>
      <c r="R231" t="str">
        <v>t</v>
      </c>
      <c r="Z231">
        <v>34.910066999999998</v>
      </c>
      <c r="AH231">
        <v>184</v>
      </c>
    </row>
    <row r="232" spans="1:34" s="3" customFormat="1" x14ac:dyDescent="0.25">
      <c r="A232" s="3" t="s">
        <v>479</v>
      </c>
      <c r="B232" s="5" t="s">
        <v>1319</v>
      </c>
      <c r="C232" s="5" t="s">
        <v>1347</v>
      </c>
      <c r="D232" s="3" t="s">
        <v>439</v>
      </c>
      <c r="E232" s="3">
        <v>111</v>
      </c>
      <c r="F232" s="3" t="s">
        <v>480</v>
      </c>
      <c r="G232" s="4" t="s">
        <v>222</v>
      </c>
      <c r="H232" s="3">
        <v>58.893047000000003</v>
      </c>
      <c r="I232" s="3">
        <v>292</v>
      </c>
      <c r="J232" s="3" t="s">
        <v>1279</v>
      </c>
      <c r="K232" s="3" t="s">
        <v>1327</v>
      </c>
      <c r="R232" s="3" t="str">
        <v>t</v>
      </c>
      <c r="Z232" s="3">
        <v>58.893047000000003</v>
      </c>
      <c r="AH232" s="3">
        <v>292</v>
      </c>
    </row>
    <row r="233" spans="1:34" s="5" customFormat="1" x14ac:dyDescent="0.25">
      <c r="A233" s="5" t="s">
        <v>481</v>
      </c>
      <c r="B233" s="5" t="s">
        <v>1319</v>
      </c>
      <c r="C233" s="5" t="s">
        <v>1348</v>
      </c>
      <c r="D233" s="5" t="s">
        <v>482</v>
      </c>
      <c r="E233" s="5">
        <v>81</v>
      </c>
      <c r="F233" s="5" t="s">
        <v>483</v>
      </c>
      <c r="G233" s="6" t="s">
        <v>222</v>
      </c>
      <c r="H233" s="5">
        <v>5.0051100000000002</v>
      </c>
      <c r="I233" s="5">
        <v>29</v>
      </c>
      <c r="J233" s="5" t="s">
        <v>1280</v>
      </c>
      <c r="K233" s="5" t="s">
        <v>1327</v>
      </c>
      <c r="L233" s="5" t="str" cm="1">
        <f t="array" ref="L233:L235">G233:G235</f>
        <v>t</v>
      </c>
      <c r="T233" s="5" cm="1">
        <f t="array" ref="T233:T235">H233:H235</f>
        <v>5.0051100000000002</v>
      </c>
      <c r="AB233" s="5" cm="1">
        <f t="array" ref="AB233:AB235">I233:I235</f>
        <v>29</v>
      </c>
    </row>
    <row r="234" spans="1:34" x14ac:dyDescent="0.25">
      <c r="A234" t="s">
        <v>484</v>
      </c>
      <c r="B234" s="5" t="s">
        <v>1319</v>
      </c>
      <c r="C234" s="5" t="s">
        <v>1348</v>
      </c>
      <c r="D234" t="s">
        <v>482</v>
      </c>
      <c r="E234">
        <v>81</v>
      </c>
      <c r="F234" t="s">
        <v>485</v>
      </c>
      <c r="G234" s="2" t="s">
        <v>222</v>
      </c>
      <c r="H234">
        <v>3.7031649999999998</v>
      </c>
      <c r="I234">
        <v>22</v>
      </c>
      <c r="J234" t="s">
        <v>1280</v>
      </c>
      <c r="K234" t="s">
        <v>1327</v>
      </c>
      <c r="L234" t="str">
        <v>t</v>
      </c>
      <c r="T234">
        <v>3.7031649999999998</v>
      </c>
      <c r="AB234">
        <v>22</v>
      </c>
    </row>
    <row r="235" spans="1:34" x14ac:dyDescent="0.25">
      <c r="A235" t="s">
        <v>486</v>
      </c>
      <c r="B235" s="5" t="s">
        <v>1319</v>
      </c>
      <c r="C235" s="5" t="s">
        <v>1348</v>
      </c>
      <c r="D235" t="s">
        <v>482</v>
      </c>
      <c r="E235">
        <v>81</v>
      </c>
      <c r="F235" t="s">
        <v>487</v>
      </c>
      <c r="G235" s="2" t="s">
        <v>222</v>
      </c>
      <c r="H235">
        <v>7.765752</v>
      </c>
      <c r="I235">
        <v>41</v>
      </c>
      <c r="J235" t="s">
        <v>1280</v>
      </c>
      <c r="K235" t="s">
        <v>1327</v>
      </c>
      <c r="L235" t="str">
        <v>t</v>
      </c>
      <c r="T235">
        <v>7.765752</v>
      </c>
      <c r="AB235">
        <v>41</v>
      </c>
    </row>
    <row r="236" spans="1:34" x14ac:dyDescent="0.25">
      <c r="A236" t="s">
        <v>488</v>
      </c>
      <c r="B236" s="5" t="s">
        <v>1319</v>
      </c>
      <c r="C236" s="5" t="s">
        <v>1348</v>
      </c>
      <c r="D236" t="s">
        <v>482</v>
      </c>
      <c r="E236">
        <v>91</v>
      </c>
      <c r="F236" t="s">
        <v>489</v>
      </c>
      <c r="G236" s="2" t="s">
        <v>223</v>
      </c>
      <c r="H236">
        <v>46.063223000000001</v>
      </c>
      <c r="I236">
        <v>240</v>
      </c>
      <c r="J236" t="s">
        <v>1280</v>
      </c>
      <c r="K236" t="s">
        <v>1327</v>
      </c>
      <c r="M236" t="str" cm="1">
        <f t="array" ref="M236:M238">G236:G238</f>
        <v>f</v>
      </c>
      <c r="U236" cm="1">
        <f t="array" ref="U236:U238">H236:H238</f>
        <v>46.063223000000001</v>
      </c>
      <c r="AC236" cm="1">
        <f t="array" ref="AC236:AC238">I236:I238</f>
        <v>240</v>
      </c>
    </row>
    <row r="237" spans="1:34" x14ac:dyDescent="0.25">
      <c r="A237" t="s">
        <v>490</v>
      </c>
      <c r="B237" s="5" t="s">
        <v>1319</v>
      </c>
      <c r="C237" s="5" t="s">
        <v>1348</v>
      </c>
      <c r="D237" t="s">
        <v>482</v>
      </c>
      <c r="E237">
        <v>91</v>
      </c>
      <c r="F237" t="s">
        <v>491</v>
      </c>
      <c r="G237" s="2" t="s">
        <v>222</v>
      </c>
      <c r="H237">
        <v>46.960887999999997</v>
      </c>
      <c r="I237">
        <v>256</v>
      </c>
      <c r="J237" t="s">
        <v>1280</v>
      </c>
      <c r="K237" t="s">
        <v>1327</v>
      </c>
      <c r="M237" t="str">
        <v>t</v>
      </c>
      <c r="U237">
        <v>46.960887999999997</v>
      </c>
      <c r="AC237">
        <v>256</v>
      </c>
    </row>
    <row r="238" spans="1:34" x14ac:dyDescent="0.25">
      <c r="A238" t="s">
        <v>492</v>
      </c>
      <c r="B238" s="5" t="s">
        <v>1319</v>
      </c>
      <c r="C238" s="5" t="s">
        <v>1348</v>
      </c>
      <c r="D238" t="s">
        <v>482</v>
      </c>
      <c r="E238">
        <v>91</v>
      </c>
      <c r="F238" t="s">
        <v>493</v>
      </c>
      <c r="G238" s="2" t="s">
        <v>222</v>
      </c>
      <c r="H238">
        <v>54.829664999999999</v>
      </c>
      <c r="I238">
        <v>289</v>
      </c>
      <c r="J238" t="s">
        <v>1280</v>
      </c>
      <c r="K238" t="s">
        <v>1327</v>
      </c>
      <c r="M238" t="str">
        <v>t</v>
      </c>
      <c r="U238">
        <v>54.829664999999999</v>
      </c>
      <c r="AC238">
        <v>289</v>
      </c>
    </row>
    <row r="239" spans="1:34" x14ac:dyDescent="0.25">
      <c r="A239" t="s">
        <v>494</v>
      </c>
      <c r="B239" s="5" t="s">
        <v>1319</v>
      </c>
      <c r="C239" s="5" t="s">
        <v>1348</v>
      </c>
      <c r="D239" t="s">
        <v>482</v>
      </c>
      <c r="E239">
        <v>146</v>
      </c>
      <c r="F239" t="s">
        <v>495</v>
      </c>
      <c r="G239" s="2" t="s">
        <v>222</v>
      </c>
      <c r="H239">
        <v>37.347445</v>
      </c>
      <c r="I239">
        <v>193</v>
      </c>
      <c r="J239" t="s">
        <v>1280</v>
      </c>
      <c r="K239" t="s">
        <v>1327</v>
      </c>
      <c r="N239" t="str" cm="1">
        <f t="array" ref="N239:N241">G239:G241</f>
        <v>t</v>
      </c>
      <c r="V239" cm="1">
        <f t="array" ref="V239:V241">H239:H241</f>
        <v>37.347445</v>
      </c>
      <c r="AD239" cm="1">
        <f t="array" ref="AD239:AD241">I239:I241</f>
        <v>193</v>
      </c>
    </row>
    <row r="240" spans="1:34" x14ac:dyDescent="0.25">
      <c r="A240" t="s">
        <v>496</v>
      </c>
      <c r="B240" s="5" t="s">
        <v>1319</v>
      </c>
      <c r="C240" s="5" t="s">
        <v>1348</v>
      </c>
      <c r="D240" t="s">
        <v>482</v>
      </c>
      <c r="E240">
        <v>146</v>
      </c>
      <c r="F240" t="s">
        <v>497</v>
      </c>
      <c r="G240" s="2" t="s">
        <v>223</v>
      </c>
      <c r="H240">
        <v>41.357816999999997</v>
      </c>
      <c r="I240">
        <v>202</v>
      </c>
      <c r="J240" t="s">
        <v>1280</v>
      </c>
      <c r="K240" t="s">
        <v>1327</v>
      </c>
      <c r="N240" t="str">
        <v>f</v>
      </c>
      <c r="V240">
        <v>41.357816999999997</v>
      </c>
      <c r="AD240">
        <v>202</v>
      </c>
    </row>
    <row r="241" spans="1:34" x14ac:dyDescent="0.25">
      <c r="A241" t="s">
        <v>498</v>
      </c>
      <c r="B241" s="5" t="s">
        <v>1319</v>
      </c>
      <c r="C241" s="5" t="s">
        <v>1348</v>
      </c>
      <c r="D241" t="s">
        <v>482</v>
      </c>
      <c r="E241">
        <v>146</v>
      </c>
      <c r="F241" t="s">
        <v>499</v>
      </c>
      <c r="G241" s="2" t="s">
        <v>222</v>
      </c>
      <c r="H241">
        <v>32.424396000000002</v>
      </c>
      <c r="I241">
        <v>166</v>
      </c>
      <c r="J241" t="s">
        <v>1280</v>
      </c>
      <c r="K241" t="s">
        <v>1327</v>
      </c>
      <c r="N241" t="str">
        <v>t</v>
      </c>
      <c r="V241">
        <v>32.424396000000002</v>
      </c>
      <c r="AD241">
        <v>166</v>
      </c>
    </row>
    <row r="242" spans="1:34" x14ac:dyDescent="0.25">
      <c r="A242" t="s">
        <v>500</v>
      </c>
      <c r="B242" s="5" t="s">
        <v>1319</v>
      </c>
      <c r="C242" s="5" t="s">
        <v>1348</v>
      </c>
      <c r="D242" t="s">
        <v>482</v>
      </c>
      <c r="E242">
        <v>119</v>
      </c>
      <c r="F242" t="s">
        <v>501</v>
      </c>
      <c r="G242" s="2" t="s">
        <v>222</v>
      </c>
      <c r="H242">
        <v>32.892218</v>
      </c>
      <c r="I242">
        <v>162</v>
      </c>
      <c r="J242" t="s">
        <v>1280</v>
      </c>
      <c r="K242" t="s">
        <v>1327</v>
      </c>
      <c r="O242" t="str" cm="1">
        <f t="array" ref="O242:O244">G242:G244</f>
        <v>t</v>
      </c>
      <c r="W242" cm="1">
        <f t="array" ref="W242:W244">H242:H244</f>
        <v>32.892218</v>
      </c>
      <c r="AE242" cm="1">
        <f t="array" ref="AE242:AE244">I242:I244</f>
        <v>162</v>
      </c>
    </row>
    <row r="243" spans="1:34" x14ac:dyDescent="0.25">
      <c r="A243" t="s">
        <v>502</v>
      </c>
      <c r="B243" s="5" t="s">
        <v>1319</v>
      </c>
      <c r="C243" s="5" t="s">
        <v>1348</v>
      </c>
      <c r="D243" t="s">
        <v>482</v>
      </c>
      <c r="E243">
        <v>119</v>
      </c>
      <c r="F243" t="s">
        <v>503</v>
      </c>
      <c r="G243" s="2" t="s">
        <v>223</v>
      </c>
      <c r="H243">
        <v>26.473333</v>
      </c>
      <c r="I243">
        <v>129</v>
      </c>
      <c r="J243" t="s">
        <v>1280</v>
      </c>
      <c r="K243" t="s">
        <v>1327</v>
      </c>
      <c r="O243" t="str">
        <v>f</v>
      </c>
      <c r="W243">
        <v>26.473333</v>
      </c>
      <c r="AE243">
        <v>129</v>
      </c>
    </row>
    <row r="244" spans="1:34" x14ac:dyDescent="0.25">
      <c r="A244" t="s">
        <v>504</v>
      </c>
      <c r="B244" s="5" t="s">
        <v>1319</v>
      </c>
      <c r="C244" s="5" t="s">
        <v>1348</v>
      </c>
      <c r="D244" t="s">
        <v>482</v>
      </c>
      <c r="E244">
        <v>119</v>
      </c>
      <c r="F244" t="s">
        <v>505</v>
      </c>
      <c r="G244" s="2" t="s">
        <v>222</v>
      </c>
      <c r="H244">
        <v>21.642588</v>
      </c>
      <c r="I244">
        <v>105</v>
      </c>
      <c r="J244" t="s">
        <v>1280</v>
      </c>
      <c r="K244" t="s">
        <v>1327</v>
      </c>
      <c r="O244" t="str">
        <v>t</v>
      </c>
      <c r="W244">
        <v>21.642588</v>
      </c>
      <c r="AE244">
        <v>105</v>
      </c>
    </row>
    <row r="245" spans="1:34" x14ac:dyDescent="0.25">
      <c r="A245" s="1" t="s">
        <v>506</v>
      </c>
      <c r="B245" s="5" t="s">
        <v>1319</v>
      </c>
      <c r="C245" s="5" t="s">
        <v>1348</v>
      </c>
      <c r="D245" t="s">
        <v>482</v>
      </c>
      <c r="E245">
        <v>117</v>
      </c>
      <c r="F245" t="s">
        <v>507</v>
      </c>
      <c r="G245" s="2" t="s">
        <v>222</v>
      </c>
      <c r="H245">
        <v>27.919900999999999</v>
      </c>
      <c r="I245">
        <v>139</v>
      </c>
      <c r="J245" t="s">
        <v>1280</v>
      </c>
      <c r="K245" t="s">
        <v>1327</v>
      </c>
      <c r="P245" t="str" cm="1">
        <f t="array" ref="P245:P247">G245:G247</f>
        <v>t</v>
      </c>
      <c r="X245" cm="1">
        <f t="array" ref="X245:X247">H245:H247</f>
        <v>27.919900999999999</v>
      </c>
      <c r="AF245" cm="1">
        <f t="array" ref="AF245:AF247">I245:I247</f>
        <v>139</v>
      </c>
    </row>
    <row r="246" spans="1:34" x14ac:dyDescent="0.25">
      <c r="A246" s="1" t="s">
        <v>508</v>
      </c>
      <c r="B246" s="5" t="s">
        <v>1319</v>
      </c>
      <c r="C246" s="5" t="s">
        <v>1348</v>
      </c>
      <c r="D246" t="s">
        <v>482</v>
      </c>
      <c r="E246">
        <v>117</v>
      </c>
      <c r="F246" t="s">
        <v>509</v>
      </c>
      <c r="G246" s="2" t="s">
        <v>222</v>
      </c>
      <c r="H246">
        <v>28.052634000000001</v>
      </c>
      <c r="I246">
        <v>137</v>
      </c>
      <c r="J246" t="s">
        <v>1280</v>
      </c>
      <c r="K246" t="s">
        <v>1327</v>
      </c>
      <c r="P246" t="str">
        <v>t</v>
      </c>
      <c r="X246">
        <v>28.052634000000001</v>
      </c>
      <c r="AF246">
        <v>137</v>
      </c>
    </row>
    <row r="247" spans="1:34" x14ac:dyDescent="0.25">
      <c r="A247" s="1" t="s">
        <v>510</v>
      </c>
      <c r="B247" s="5" t="s">
        <v>1319</v>
      </c>
      <c r="C247" s="5" t="s">
        <v>1348</v>
      </c>
      <c r="D247" t="s">
        <v>482</v>
      </c>
      <c r="E247">
        <v>117</v>
      </c>
      <c r="F247" t="s">
        <v>511</v>
      </c>
      <c r="G247" s="2" t="s">
        <v>222</v>
      </c>
      <c r="H247">
        <v>25.038288999999999</v>
      </c>
      <c r="I247">
        <v>137</v>
      </c>
      <c r="J247" t="s">
        <v>1280</v>
      </c>
      <c r="K247" t="s">
        <v>1327</v>
      </c>
      <c r="P247" t="str">
        <v>t</v>
      </c>
      <c r="X247">
        <v>25.038288999999999</v>
      </c>
      <c r="AF247">
        <v>137</v>
      </c>
    </row>
    <row r="248" spans="1:34" x14ac:dyDescent="0.25">
      <c r="A248" t="s">
        <v>512</v>
      </c>
      <c r="B248" s="5" t="s">
        <v>1319</v>
      </c>
      <c r="C248" s="5" t="s">
        <v>1348</v>
      </c>
      <c r="D248" t="s">
        <v>482</v>
      </c>
      <c r="E248">
        <v>118</v>
      </c>
      <c r="F248" t="s">
        <v>513</v>
      </c>
      <c r="G248" s="2" t="s">
        <v>223</v>
      </c>
      <c r="H248">
        <v>42.928410999999997</v>
      </c>
      <c r="I248">
        <v>220</v>
      </c>
      <c r="J248" t="s">
        <v>1280</v>
      </c>
      <c r="K248" t="s">
        <v>1327</v>
      </c>
      <c r="Q248" t="str" cm="1">
        <f t="array" ref="Q248:Q250">G248:G250</f>
        <v>f</v>
      </c>
      <c r="Y248" cm="1">
        <f t="array" ref="Y248:Y250">H248:H250</f>
        <v>42.928410999999997</v>
      </c>
      <c r="AG248" cm="1">
        <f t="array" ref="AG248:AG250">I248:I250</f>
        <v>220</v>
      </c>
    </row>
    <row r="249" spans="1:34" x14ac:dyDescent="0.25">
      <c r="A249" t="s">
        <v>514</v>
      </c>
      <c r="B249" s="5" t="s">
        <v>1319</v>
      </c>
      <c r="C249" s="5" t="s">
        <v>1348</v>
      </c>
      <c r="D249" t="s">
        <v>482</v>
      </c>
      <c r="E249">
        <v>118</v>
      </c>
      <c r="F249" t="s">
        <v>515</v>
      </c>
      <c r="G249" s="2" t="s">
        <v>222</v>
      </c>
      <c r="H249">
        <v>52.171391</v>
      </c>
      <c r="I249">
        <v>261</v>
      </c>
      <c r="J249" t="s">
        <v>1280</v>
      </c>
      <c r="K249" t="s">
        <v>1327</v>
      </c>
      <c r="Q249" t="str">
        <v>t</v>
      </c>
      <c r="Y249">
        <v>52.171391</v>
      </c>
      <c r="AG249">
        <v>261</v>
      </c>
    </row>
    <row r="250" spans="1:34" x14ac:dyDescent="0.25">
      <c r="A250" t="s">
        <v>516</v>
      </c>
      <c r="B250" s="5" t="s">
        <v>1319</v>
      </c>
      <c r="C250" s="5" t="s">
        <v>1348</v>
      </c>
      <c r="D250" t="s">
        <v>482</v>
      </c>
      <c r="E250">
        <v>118</v>
      </c>
      <c r="F250" t="s">
        <v>517</v>
      </c>
      <c r="G250" s="2" t="s">
        <v>222</v>
      </c>
      <c r="H250">
        <v>27.485520999999999</v>
      </c>
      <c r="I250">
        <v>141</v>
      </c>
      <c r="J250" t="s">
        <v>1280</v>
      </c>
      <c r="K250" t="s">
        <v>1327</v>
      </c>
      <c r="Q250" t="str">
        <v>t</v>
      </c>
      <c r="Y250">
        <v>27.485520999999999</v>
      </c>
      <c r="AG250">
        <v>141</v>
      </c>
    </row>
    <row r="251" spans="1:34" x14ac:dyDescent="0.25">
      <c r="A251" t="s">
        <v>518</v>
      </c>
      <c r="B251" s="5" t="s">
        <v>1319</v>
      </c>
      <c r="C251" s="5" t="s">
        <v>1348</v>
      </c>
      <c r="D251" t="s">
        <v>482</v>
      </c>
      <c r="E251">
        <v>122</v>
      </c>
      <c r="F251" t="s">
        <v>519</v>
      </c>
      <c r="G251" s="2" t="s">
        <v>223</v>
      </c>
      <c r="H251">
        <v>75.522626000000002</v>
      </c>
      <c r="I251">
        <v>393</v>
      </c>
      <c r="J251" t="s">
        <v>1280</v>
      </c>
      <c r="K251" t="s">
        <v>1327</v>
      </c>
      <c r="R251" t="str" cm="1">
        <f t="array" ref="R251:R253">G251:G253</f>
        <v>f</v>
      </c>
      <c r="Z251" cm="1">
        <f t="array" ref="Z251:Z253">H251:H253</f>
        <v>75.522626000000002</v>
      </c>
      <c r="AH251" cm="1">
        <f t="array" ref="AH251:AH253">I251:I253</f>
        <v>393</v>
      </c>
    </row>
    <row r="252" spans="1:34" x14ac:dyDescent="0.25">
      <c r="A252" t="s">
        <v>520</v>
      </c>
      <c r="B252" s="5" t="s">
        <v>1319</v>
      </c>
      <c r="C252" s="5" t="s">
        <v>1348</v>
      </c>
      <c r="D252" t="s">
        <v>482</v>
      </c>
      <c r="E252">
        <v>122</v>
      </c>
      <c r="F252" t="s">
        <v>521</v>
      </c>
      <c r="G252" s="2" t="s">
        <v>222</v>
      </c>
      <c r="H252">
        <v>46.608683999999997</v>
      </c>
      <c r="I252">
        <v>239</v>
      </c>
      <c r="J252" t="s">
        <v>1280</v>
      </c>
      <c r="K252" t="s">
        <v>1327</v>
      </c>
      <c r="R252" t="str">
        <v>t</v>
      </c>
      <c r="Z252">
        <v>46.608683999999997</v>
      </c>
      <c r="AH252">
        <v>239</v>
      </c>
    </row>
    <row r="253" spans="1:34" s="3" customFormat="1" x14ac:dyDescent="0.25">
      <c r="A253" s="3" t="s">
        <v>522</v>
      </c>
      <c r="B253" s="5" t="s">
        <v>1319</v>
      </c>
      <c r="C253" s="5" t="s">
        <v>1348</v>
      </c>
      <c r="D253" s="3" t="s">
        <v>482</v>
      </c>
      <c r="E253" s="3">
        <v>122</v>
      </c>
      <c r="F253" s="3" t="s">
        <v>523</v>
      </c>
      <c r="G253" s="4" t="s">
        <v>223</v>
      </c>
      <c r="H253" s="3">
        <v>58.034868000000003</v>
      </c>
      <c r="I253" s="3">
        <v>311</v>
      </c>
      <c r="J253" s="3" t="s">
        <v>1280</v>
      </c>
      <c r="K253" s="3" t="s">
        <v>1327</v>
      </c>
      <c r="R253" s="3" t="str">
        <v>f</v>
      </c>
      <c r="Z253" s="3">
        <v>58.034868000000003</v>
      </c>
      <c r="AH253" s="3">
        <v>311</v>
      </c>
    </row>
    <row r="254" spans="1:34" s="5" customFormat="1" x14ac:dyDescent="0.25">
      <c r="A254" s="5" t="s">
        <v>524</v>
      </c>
      <c r="B254" s="5" t="s">
        <v>1349</v>
      </c>
      <c r="C254" s="5" t="s">
        <v>1348</v>
      </c>
      <c r="D254" s="5" t="s">
        <v>525</v>
      </c>
      <c r="E254" s="5">
        <v>84</v>
      </c>
      <c r="F254" s="5" t="s">
        <v>526</v>
      </c>
      <c r="G254" s="6" t="s">
        <v>223</v>
      </c>
      <c r="H254" s="5">
        <v>5.2079339999999998</v>
      </c>
      <c r="I254" s="5">
        <v>30</v>
      </c>
      <c r="J254" s="5" t="s">
        <v>1281</v>
      </c>
      <c r="K254" s="5" t="s">
        <v>1327</v>
      </c>
      <c r="L254" s="5" t="str" cm="1">
        <f t="array" ref="L254:L256">G254:G256</f>
        <v>f</v>
      </c>
      <c r="T254" s="5" cm="1">
        <f t="array" ref="T254:T256">H254:H256</f>
        <v>5.2079339999999998</v>
      </c>
      <c r="AB254" s="5" cm="1">
        <f t="array" ref="AB254:AB256">I254:I256</f>
        <v>30</v>
      </c>
    </row>
    <row r="255" spans="1:34" x14ac:dyDescent="0.25">
      <c r="A255" t="s">
        <v>527</v>
      </c>
      <c r="B255" s="5" t="s">
        <v>1349</v>
      </c>
      <c r="C255" s="5" t="s">
        <v>1348</v>
      </c>
      <c r="D255" t="s">
        <v>525</v>
      </c>
      <c r="E255">
        <v>84</v>
      </c>
      <c r="F255" t="s">
        <v>528</v>
      </c>
      <c r="G255" s="2" t="s">
        <v>223</v>
      </c>
      <c r="H255">
        <v>2.3061189999999998</v>
      </c>
      <c r="I255">
        <v>14</v>
      </c>
      <c r="J255" t="s">
        <v>1281</v>
      </c>
      <c r="K255" t="s">
        <v>1327</v>
      </c>
      <c r="L255" t="str">
        <v>f</v>
      </c>
      <c r="T255">
        <v>2.3061189999999998</v>
      </c>
      <c r="AB255">
        <v>14</v>
      </c>
    </row>
    <row r="256" spans="1:34" x14ac:dyDescent="0.25">
      <c r="A256" t="s">
        <v>529</v>
      </c>
      <c r="B256" s="5" t="s">
        <v>1349</v>
      </c>
      <c r="C256" s="5" t="s">
        <v>1348</v>
      </c>
      <c r="D256" t="s">
        <v>525</v>
      </c>
      <c r="E256">
        <v>84</v>
      </c>
      <c r="F256" t="s">
        <v>530</v>
      </c>
      <c r="G256" s="2" t="s">
        <v>223</v>
      </c>
      <c r="H256">
        <v>4.8497219999999999</v>
      </c>
      <c r="I256">
        <v>26</v>
      </c>
      <c r="J256" t="s">
        <v>1281</v>
      </c>
      <c r="K256" t="s">
        <v>1327</v>
      </c>
      <c r="L256" t="str">
        <v>f</v>
      </c>
      <c r="T256">
        <v>4.8497219999999999</v>
      </c>
      <c r="AB256">
        <v>26</v>
      </c>
    </row>
    <row r="257" spans="1:34" x14ac:dyDescent="0.25">
      <c r="A257" t="s">
        <v>531</v>
      </c>
      <c r="B257" s="5" t="s">
        <v>1349</v>
      </c>
      <c r="C257" s="5" t="s">
        <v>1348</v>
      </c>
      <c r="D257" t="s">
        <v>525</v>
      </c>
      <c r="E257">
        <v>94</v>
      </c>
      <c r="F257" t="s">
        <v>532</v>
      </c>
      <c r="G257" s="2" t="s">
        <v>223</v>
      </c>
      <c r="H257">
        <v>42.397300999999999</v>
      </c>
      <c r="I257">
        <v>228</v>
      </c>
      <c r="J257" t="s">
        <v>1281</v>
      </c>
      <c r="K257" t="s">
        <v>1327</v>
      </c>
      <c r="M257" t="str" cm="1">
        <f t="array" ref="M257:M259">G257:G259</f>
        <v>f</v>
      </c>
      <c r="U257" cm="1">
        <f t="array" ref="U257:U259">H257:H259</f>
        <v>42.397300999999999</v>
      </c>
      <c r="AC257" cm="1">
        <f t="array" ref="AC257:AC259">I257:I259</f>
        <v>228</v>
      </c>
    </row>
    <row r="258" spans="1:34" x14ac:dyDescent="0.25">
      <c r="A258" t="s">
        <v>533</v>
      </c>
      <c r="B258" s="5" t="s">
        <v>1349</v>
      </c>
      <c r="C258" s="5" t="s">
        <v>1348</v>
      </c>
      <c r="D258" t="s">
        <v>525</v>
      </c>
      <c r="E258">
        <v>94</v>
      </c>
      <c r="F258" t="s">
        <v>534</v>
      </c>
      <c r="G258" s="2" t="s">
        <v>223</v>
      </c>
      <c r="H258">
        <v>99.922124999999994</v>
      </c>
      <c r="I258">
        <v>502</v>
      </c>
      <c r="J258" t="s">
        <v>1281</v>
      </c>
      <c r="K258" t="s">
        <v>1327</v>
      </c>
      <c r="M258" t="str">
        <v>f</v>
      </c>
      <c r="U258">
        <v>99.922124999999994</v>
      </c>
      <c r="AC258">
        <v>502</v>
      </c>
    </row>
    <row r="259" spans="1:34" x14ac:dyDescent="0.25">
      <c r="A259" t="s">
        <v>535</v>
      </c>
      <c r="B259" s="5" t="s">
        <v>1349</v>
      </c>
      <c r="C259" s="5" t="s">
        <v>1348</v>
      </c>
      <c r="D259" t="s">
        <v>525</v>
      </c>
      <c r="E259">
        <v>94</v>
      </c>
      <c r="F259" t="s">
        <v>536</v>
      </c>
      <c r="G259" s="2" t="s">
        <v>223</v>
      </c>
      <c r="H259">
        <v>82.014294000000007</v>
      </c>
      <c r="I259">
        <v>412</v>
      </c>
      <c r="J259" t="s">
        <v>1281</v>
      </c>
      <c r="K259" t="s">
        <v>1327</v>
      </c>
      <c r="M259" t="str">
        <v>f</v>
      </c>
      <c r="U259">
        <v>82.014294000000007</v>
      </c>
      <c r="AC259">
        <v>412</v>
      </c>
    </row>
    <row r="260" spans="1:34" x14ac:dyDescent="0.25">
      <c r="A260" t="s">
        <v>537</v>
      </c>
      <c r="B260" s="5" t="s">
        <v>1349</v>
      </c>
      <c r="C260" s="5" t="s">
        <v>1348</v>
      </c>
      <c r="D260" t="s">
        <v>525</v>
      </c>
      <c r="E260">
        <v>149</v>
      </c>
      <c r="F260" t="s">
        <v>538</v>
      </c>
      <c r="G260" s="2" t="s">
        <v>222</v>
      </c>
      <c r="H260">
        <v>44.380659999999999</v>
      </c>
      <c r="I260">
        <v>228</v>
      </c>
      <c r="J260" t="s">
        <v>1281</v>
      </c>
      <c r="K260" t="s">
        <v>1327</v>
      </c>
      <c r="N260" t="str" cm="1">
        <f t="array" ref="N260:N262">G260:G262</f>
        <v>t</v>
      </c>
      <c r="V260" cm="1">
        <f t="array" ref="V260:V262">H260:H262</f>
        <v>44.380659999999999</v>
      </c>
      <c r="AD260" cm="1">
        <f t="array" ref="AD260:AD262">I260:I262</f>
        <v>228</v>
      </c>
    </row>
    <row r="261" spans="1:34" x14ac:dyDescent="0.25">
      <c r="A261" t="s">
        <v>539</v>
      </c>
      <c r="B261" s="5" t="s">
        <v>1349</v>
      </c>
      <c r="C261" s="5" t="s">
        <v>1348</v>
      </c>
      <c r="D261" t="s">
        <v>525</v>
      </c>
      <c r="E261">
        <v>149</v>
      </c>
      <c r="F261" t="s">
        <v>540</v>
      </c>
      <c r="G261" s="2" t="s">
        <v>222</v>
      </c>
      <c r="H261">
        <v>72.126176000000001</v>
      </c>
      <c r="I261">
        <v>361</v>
      </c>
      <c r="J261" t="s">
        <v>1281</v>
      </c>
      <c r="K261" t="s">
        <v>1327</v>
      </c>
      <c r="N261" t="str">
        <v>t</v>
      </c>
      <c r="V261">
        <v>72.126176000000001</v>
      </c>
      <c r="AD261">
        <v>361</v>
      </c>
    </row>
    <row r="262" spans="1:34" x14ac:dyDescent="0.25">
      <c r="A262" t="s">
        <v>541</v>
      </c>
      <c r="B262" s="5" t="s">
        <v>1349</v>
      </c>
      <c r="C262" s="5" t="s">
        <v>1348</v>
      </c>
      <c r="D262" t="s">
        <v>525</v>
      </c>
      <c r="E262">
        <v>149</v>
      </c>
      <c r="F262" t="s">
        <v>542</v>
      </c>
      <c r="G262" s="2" t="s">
        <v>222</v>
      </c>
      <c r="H262">
        <v>34.443707000000003</v>
      </c>
      <c r="I262">
        <v>194</v>
      </c>
      <c r="J262" t="s">
        <v>1281</v>
      </c>
      <c r="K262" t="s">
        <v>1327</v>
      </c>
      <c r="N262" t="str">
        <v>t</v>
      </c>
      <c r="V262">
        <v>34.443707000000003</v>
      </c>
      <c r="AD262">
        <v>194</v>
      </c>
    </row>
    <row r="263" spans="1:34" x14ac:dyDescent="0.25">
      <c r="A263" t="s">
        <v>543</v>
      </c>
      <c r="B263" s="5" t="s">
        <v>1349</v>
      </c>
      <c r="C263" s="5" t="s">
        <v>1348</v>
      </c>
      <c r="D263" t="s">
        <v>525</v>
      </c>
      <c r="E263">
        <v>122</v>
      </c>
      <c r="F263" t="s">
        <v>544</v>
      </c>
      <c r="G263" s="2" t="s">
        <v>223</v>
      </c>
      <c r="H263">
        <v>58.323686000000002</v>
      </c>
      <c r="I263">
        <v>328</v>
      </c>
      <c r="J263" t="s">
        <v>1281</v>
      </c>
      <c r="K263" t="s">
        <v>1327</v>
      </c>
      <c r="O263" t="str" cm="1">
        <f t="array" ref="O263:O265">G263:G265</f>
        <v>f</v>
      </c>
      <c r="W263" cm="1">
        <f t="array" ref="W263:W265">H263:H265</f>
        <v>58.323686000000002</v>
      </c>
      <c r="AE263" cm="1">
        <f t="array" ref="AE263:AE265">I263:I265</f>
        <v>328</v>
      </c>
    </row>
    <row r="264" spans="1:34" x14ac:dyDescent="0.25">
      <c r="A264" t="s">
        <v>545</v>
      </c>
      <c r="B264" s="5" t="s">
        <v>1349</v>
      </c>
      <c r="C264" s="5" t="s">
        <v>1348</v>
      </c>
      <c r="D264" t="s">
        <v>525</v>
      </c>
      <c r="E264">
        <v>122</v>
      </c>
      <c r="F264" t="s">
        <v>546</v>
      </c>
      <c r="G264" s="2" t="s">
        <v>223</v>
      </c>
      <c r="H264">
        <v>33.854494000000003</v>
      </c>
      <c r="I264">
        <v>192</v>
      </c>
      <c r="J264" t="s">
        <v>1281</v>
      </c>
      <c r="K264" t="s">
        <v>1327</v>
      </c>
      <c r="O264" t="str">
        <v>f</v>
      </c>
      <c r="W264">
        <v>33.854494000000003</v>
      </c>
      <c r="AE264">
        <v>192</v>
      </c>
    </row>
    <row r="265" spans="1:34" x14ac:dyDescent="0.25">
      <c r="A265" t="s">
        <v>547</v>
      </c>
      <c r="B265" s="5" t="s">
        <v>1349</v>
      </c>
      <c r="C265" s="5" t="s">
        <v>1348</v>
      </c>
      <c r="D265" t="s">
        <v>525</v>
      </c>
      <c r="E265">
        <v>122</v>
      </c>
      <c r="F265" t="s">
        <v>548</v>
      </c>
      <c r="G265" s="2" t="s">
        <v>223</v>
      </c>
      <c r="H265">
        <v>37.458094000000003</v>
      </c>
      <c r="I265">
        <v>222</v>
      </c>
      <c r="J265" t="s">
        <v>1281</v>
      </c>
      <c r="K265" t="s">
        <v>1327</v>
      </c>
      <c r="O265" t="str">
        <v>f</v>
      </c>
      <c r="W265">
        <v>37.458094000000003</v>
      </c>
      <c r="AE265">
        <v>222</v>
      </c>
    </row>
    <row r="266" spans="1:34" x14ac:dyDescent="0.25">
      <c r="A266" s="1" t="s">
        <v>549</v>
      </c>
      <c r="B266" s="5" t="s">
        <v>1349</v>
      </c>
      <c r="C266" s="5" t="s">
        <v>1348</v>
      </c>
      <c r="D266" t="s">
        <v>525</v>
      </c>
      <c r="E266">
        <v>120</v>
      </c>
      <c r="F266" t="s">
        <v>550</v>
      </c>
      <c r="G266" s="2" t="s">
        <v>223</v>
      </c>
      <c r="H266">
        <v>31.511292000000001</v>
      </c>
      <c r="I266">
        <v>191</v>
      </c>
      <c r="J266" t="s">
        <v>1281</v>
      </c>
      <c r="K266" t="s">
        <v>1327</v>
      </c>
      <c r="P266" t="str" cm="1">
        <f t="array" ref="P266:P268">G266:G268</f>
        <v>f</v>
      </c>
      <c r="X266" cm="1">
        <f t="array" ref="X266:X268">H266:H268</f>
        <v>31.511292000000001</v>
      </c>
      <c r="AF266" cm="1">
        <f t="array" ref="AF266:AF268">I266:I268</f>
        <v>191</v>
      </c>
    </row>
    <row r="267" spans="1:34" x14ac:dyDescent="0.25">
      <c r="A267" s="1" t="s">
        <v>551</v>
      </c>
      <c r="B267" s="5" t="s">
        <v>1349</v>
      </c>
      <c r="C267" s="5" t="s">
        <v>1348</v>
      </c>
      <c r="D267" t="s">
        <v>525</v>
      </c>
      <c r="E267">
        <v>120</v>
      </c>
      <c r="F267" t="s">
        <v>552</v>
      </c>
      <c r="G267" s="2" t="s">
        <v>222</v>
      </c>
      <c r="H267">
        <v>27.40577</v>
      </c>
      <c r="I267">
        <v>149</v>
      </c>
      <c r="J267" t="s">
        <v>1281</v>
      </c>
      <c r="K267" t="s">
        <v>1327</v>
      </c>
      <c r="P267" t="str">
        <v>t</v>
      </c>
      <c r="X267">
        <v>27.40577</v>
      </c>
      <c r="AF267">
        <v>149</v>
      </c>
    </row>
    <row r="268" spans="1:34" x14ac:dyDescent="0.25">
      <c r="A268" s="1" t="s">
        <v>553</v>
      </c>
      <c r="B268" s="5" t="s">
        <v>1349</v>
      </c>
      <c r="C268" s="5" t="s">
        <v>1348</v>
      </c>
      <c r="D268" t="s">
        <v>525</v>
      </c>
      <c r="E268">
        <v>120</v>
      </c>
      <c r="F268" t="s">
        <v>554</v>
      </c>
      <c r="G268" s="2" t="s">
        <v>222</v>
      </c>
      <c r="H268">
        <v>35.023361999999999</v>
      </c>
      <c r="I268">
        <v>212</v>
      </c>
      <c r="J268" t="s">
        <v>1281</v>
      </c>
      <c r="K268" t="s">
        <v>1327</v>
      </c>
      <c r="P268" t="str">
        <v>t</v>
      </c>
      <c r="X268">
        <v>35.023361999999999</v>
      </c>
      <c r="AF268">
        <v>212</v>
      </c>
    </row>
    <row r="269" spans="1:34" x14ac:dyDescent="0.25">
      <c r="A269" t="s">
        <v>555</v>
      </c>
      <c r="B269" s="5" t="s">
        <v>1349</v>
      </c>
      <c r="C269" s="5" t="s">
        <v>1348</v>
      </c>
      <c r="D269" t="s">
        <v>525</v>
      </c>
      <c r="E269">
        <v>121</v>
      </c>
      <c r="F269" t="s">
        <v>556</v>
      </c>
      <c r="G269" s="2" t="s">
        <v>222</v>
      </c>
      <c r="H269">
        <v>59.388781999999999</v>
      </c>
      <c r="I269">
        <v>325</v>
      </c>
      <c r="J269" t="s">
        <v>1281</v>
      </c>
      <c r="K269" t="s">
        <v>1327</v>
      </c>
      <c r="Q269" t="str" cm="1">
        <f t="array" ref="Q269:Q271">G269:G271</f>
        <v>t</v>
      </c>
      <c r="Y269" cm="1">
        <f t="array" ref="Y269:Y271">H269:H271</f>
        <v>59.388781999999999</v>
      </c>
      <c r="AG269" cm="1">
        <f t="array" ref="AG269:AG271">I269:I271</f>
        <v>325</v>
      </c>
    </row>
    <row r="270" spans="1:34" x14ac:dyDescent="0.25">
      <c r="A270" t="s">
        <v>557</v>
      </c>
      <c r="B270" s="5" t="s">
        <v>1349</v>
      </c>
      <c r="C270" s="5" t="s">
        <v>1348</v>
      </c>
      <c r="D270" t="s">
        <v>525</v>
      </c>
      <c r="E270">
        <v>121</v>
      </c>
      <c r="F270" t="s">
        <v>558</v>
      </c>
      <c r="G270" s="2" t="s">
        <v>222</v>
      </c>
      <c r="H270">
        <v>41.905845999999997</v>
      </c>
      <c r="I270">
        <v>216</v>
      </c>
      <c r="J270" t="s">
        <v>1281</v>
      </c>
      <c r="K270" t="s">
        <v>1327</v>
      </c>
      <c r="Q270" t="str">
        <v>t</v>
      </c>
      <c r="Y270">
        <v>41.905845999999997</v>
      </c>
      <c r="AG270">
        <v>216</v>
      </c>
    </row>
    <row r="271" spans="1:34" x14ac:dyDescent="0.25">
      <c r="A271" t="s">
        <v>559</v>
      </c>
      <c r="B271" s="5" t="s">
        <v>1349</v>
      </c>
      <c r="C271" s="5" t="s">
        <v>1348</v>
      </c>
      <c r="D271" t="s">
        <v>525</v>
      </c>
      <c r="E271">
        <v>121</v>
      </c>
      <c r="F271" t="s">
        <v>560</v>
      </c>
      <c r="G271" s="2" t="s">
        <v>223</v>
      </c>
      <c r="H271">
        <v>54.868647000000003</v>
      </c>
      <c r="I271">
        <v>295</v>
      </c>
      <c r="J271" t="s">
        <v>1281</v>
      </c>
      <c r="K271" t="s">
        <v>1327</v>
      </c>
      <c r="Q271" t="str">
        <v>f</v>
      </c>
      <c r="Y271">
        <v>54.868647000000003</v>
      </c>
      <c r="AG271">
        <v>295</v>
      </c>
    </row>
    <row r="272" spans="1:34" x14ac:dyDescent="0.25">
      <c r="A272" t="s">
        <v>561</v>
      </c>
      <c r="B272" s="5" t="s">
        <v>1349</v>
      </c>
      <c r="C272" s="5" t="s">
        <v>1348</v>
      </c>
      <c r="D272" t="s">
        <v>525</v>
      </c>
      <c r="E272">
        <v>125</v>
      </c>
      <c r="F272" t="s">
        <v>562</v>
      </c>
      <c r="G272" s="2" t="s">
        <v>223</v>
      </c>
      <c r="H272">
        <v>53.499093000000002</v>
      </c>
      <c r="I272">
        <v>305</v>
      </c>
      <c r="J272" t="s">
        <v>1281</v>
      </c>
      <c r="K272" t="s">
        <v>1327</v>
      </c>
      <c r="R272" t="str" cm="1">
        <f t="array" ref="R272:R274">G272:G274</f>
        <v>f</v>
      </c>
      <c r="Z272" cm="1">
        <f t="array" ref="Z272:Z274">H272:H274</f>
        <v>53.499093000000002</v>
      </c>
      <c r="AH272" cm="1">
        <f t="array" ref="AH272:AH274">I272:I274</f>
        <v>305</v>
      </c>
    </row>
    <row r="273" spans="1:34" x14ac:dyDescent="0.25">
      <c r="A273" t="s">
        <v>563</v>
      </c>
      <c r="B273" s="5" t="s">
        <v>1349</v>
      </c>
      <c r="C273" s="5" t="s">
        <v>1348</v>
      </c>
      <c r="D273" t="s">
        <v>525</v>
      </c>
      <c r="E273">
        <v>125</v>
      </c>
      <c r="F273" t="s">
        <v>564</v>
      </c>
      <c r="G273" s="2" t="s">
        <v>223</v>
      </c>
      <c r="H273">
        <v>50.025277000000003</v>
      </c>
      <c r="I273">
        <v>266</v>
      </c>
      <c r="J273" t="s">
        <v>1281</v>
      </c>
      <c r="K273" t="s">
        <v>1327</v>
      </c>
      <c r="R273" t="str">
        <v>f</v>
      </c>
      <c r="Z273">
        <v>50.025277000000003</v>
      </c>
      <c r="AH273">
        <v>266</v>
      </c>
    </row>
    <row r="274" spans="1:34" s="3" customFormat="1" x14ac:dyDescent="0.25">
      <c r="A274" s="3" t="s">
        <v>565</v>
      </c>
      <c r="B274" s="5" t="s">
        <v>1349</v>
      </c>
      <c r="C274" s="5" t="s">
        <v>1348</v>
      </c>
      <c r="D274" s="3" t="s">
        <v>525</v>
      </c>
      <c r="E274" s="3">
        <v>125</v>
      </c>
      <c r="F274" s="3" t="s">
        <v>566</v>
      </c>
      <c r="G274" s="4" t="s">
        <v>223</v>
      </c>
      <c r="H274" s="3">
        <v>95.975567999999996</v>
      </c>
      <c r="I274" s="3">
        <v>502</v>
      </c>
      <c r="J274" s="3" t="s">
        <v>1281</v>
      </c>
      <c r="K274" s="3" t="s">
        <v>1327</v>
      </c>
      <c r="R274" s="3" t="str">
        <v>f</v>
      </c>
      <c r="Z274" s="3">
        <v>95.975567999999996</v>
      </c>
      <c r="AH274" s="3">
        <v>502</v>
      </c>
    </row>
    <row r="275" spans="1:34" s="5" customFormat="1" x14ac:dyDescent="0.25">
      <c r="A275" s="5" t="s">
        <v>567</v>
      </c>
      <c r="B275" s="5" t="s">
        <v>1350</v>
      </c>
      <c r="C275" s="5" t="s">
        <v>1348</v>
      </c>
      <c r="D275" s="5" t="s">
        <v>568</v>
      </c>
      <c r="E275" s="5">
        <v>165</v>
      </c>
      <c r="F275" s="5" t="s">
        <v>569</v>
      </c>
      <c r="G275" s="6" t="s">
        <v>223</v>
      </c>
      <c r="H275" s="5">
        <v>3.0863450000000001</v>
      </c>
      <c r="I275" s="5">
        <v>16</v>
      </c>
      <c r="J275" s="5" t="s">
        <v>1282</v>
      </c>
      <c r="K275" s="5" t="s">
        <v>1327</v>
      </c>
      <c r="L275" s="5" t="str" cm="1">
        <f t="array" ref="L275:L277">G275:G277</f>
        <v>f</v>
      </c>
      <c r="T275" s="5" cm="1">
        <f t="array" ref="T275:T277">H275:H277</f>
        <v>3.0863450000000001</v>
      </c>
      <c r="AB275" s="5" cm="1">
        <f t="array" ref="AB275:AB277">I275:I277</f>
        <v>16</v>
      </c>
    </row>
    <row r="276" spans="1:34" x14ac:dyDescent="0.25">
      <c r="A276" t="s">
        <v>570</v>
      </c>
      <c r="B276" s="5" t="s">
        <v>1350</v>
      </c>
      <c r="C276" s="5" t="s">
        <v>1348</v>
      </c>
      <c r="D276" t="s">
        <v>568</v>
      </c>
      <c r="E276">
        <v>165</v>
      </c>
      <c r="F276" t="s">
        <v>569</v>
      </c>
      <c r="G276" s="2" t="s">
        <v>223</v>
      </c>
      <c r="H276">
        <v>2.4588649999999999</v>
      </c>
      <c r="I276">
        <v>16</v>
      </c>
      <c r="J276" t="s">
        <v>1282</v>
      </c>
      <c r="K276" t="s">
        <v>1327</v>
      </c>
      <c r="L276" t="str">
        <v>f</v>
      </c>
      <c r="T276">
        <v>2.4588649999999999</v>
      </c>
      <c r="AB276">
        <v>16</v>
      </c>
    </row>
    <row r="277" spans="1:34" x14ac:dyDescent="0.25">
      <c r="A277" t="s">
        <v>571</v>
      </c>
      <c r="B277" s="5" t="s">
        <v>1350</v>
      </c>
      <c r="C277" s="5" t="s">
        <v>1348</v>
      </c>
      <c r="D277" t="s">
        <v>568</v>
      </c>
      <c r="E277">
        <v>165</v>
      </c>
      <c r="F277" t="s">
        <v>572</v>
      </c>
      <c r="G277" s="2" t="s">
        <v>223</v>
      </c>
      <c r="H277">
        <v>5.2148709999999996</v>
      </c>
      <c r="I277">
        <v>29</v>
      </c>
      <c r="J277" t="s">
        <v>1282</v>
      </c>
      <c r="K277" t="s">
        <v>1327</v>
      </c>
      <c r="L277" t="str">
        <v>f</v>
      </c>
      <c r="T277">
        <v>5.2148709999999996</v>
      </c>
      <c r="AB277">
        <v>29</v>
      </c>
    </row>
    <row r="278" spans="1:34" x14ac:dyDescent="0.25">
      <c r="A278" t="s">
        <v>573</v>
      </c>
      <c r="B278" s="5" t="s">
        <v>1350</v>
      </c>
      <c r="C278" s="5" t="s">
        <v>1348</v>
      </c>
      <c r="D278" t="s">
        <v>568</v>
      </c>
      <c r="E278">
        <v>175</v>
      </c>
      <c r="F278" t="s">
        <v>574</v>
      </c>
      <c r="G278" s="2" t="s">
        <v>223</v>
      </c>
      <c r="H278">
        <v>67.769906000000006</v>
      </c>
      <c r="I278">
        <v>355</v>
      </c>
      <c r="J278" t="s">
        <v>1282</v>
      </c>
      <c r="K278" t="s">
        <v>1327</v>
      </c>
      <c r="M278" t="str" cm="1">
        <f t="array" ref="M278:M280">G278:G280</f>
        <v>f</v>
      </c>
      <c r="U278" cm="1">
        <f t="array" ref="U278:U280">H278:H280</f>
        <v>67.769906000000006</v>
      </c>
      <c r="AC278" cm="1">
        <f t="array" ref="AC278:AC280">I278:I280</f>
        <v>355</v>
      </c>
    </row>
    <row r="279" spans="1:34" x14ac:dyDescent="0.25">
      <c r="A279" t="s">
        <v>575</v>
      </c>
      <c r="B279" s="5" t="s">
        <v>1350</v>
      </c>
      <c r="C279" s="5" t="s">
        <v>1348</v>
      </c>
      <c r="D279" t="s">
        <v>568</v>
      </c>
      <c r="E279">
        <v>175</v>
      </c>
      <c r="F279" t="s">
        <v>576</v>
      </c>
      <c r="G279" s="2" t="s">
        <v>223</v>
      </c>
      <c r="H279">
        <v>48.097929000000001</v>
      </c>
      <c r="I279">
        <v>266</v>
      </c>
      <c r="J279" t="s">
        <v>1282</v>
      </c>
      <c r="K279" t="s">
        <v>1327</v>
      </c>
      <c r="M279" t="str">
        <v>f</v>
      </c>
      <c r="U279">
        <v>48.097929000000001</v>
      </c>
      <c r="AC279">
        <v>266</v>
      </c>
    </row>
    <row r="280" spans="1:34" x14ac:dyDescent="0.25">
      <c r="A280" t="s">
        <v>577</v>
      </c>
      <c r="B280" s="5" t="s">
        <v>1350</v>
      </c>
      <c r="C280" s="5" t="s">
        <v>1348</v>
      </c>
      <c r="D280" t="s">
        <v>568</v>
      </c>
      <c r="E280">
        <v>175</v>
      </c>
      <c r="F280" t="s">
        <v>578</v>
      </c>
      <c r="G280" s="2" t="s">
        <v>223</v>
      </c>
      <c r="H280">
        <v>51.179181</v>
      </c>
      <c r="I280">
        <v>268</v>
      </c>
      <c r="J280" t="s">
        <v>1282</v>
      </c>
      <c r="K280" t="s">
        <v>1327</v>
      </c>
      <c r="M280" t="str">
        <v>f</v>
      </c>
      <c r="U280">
        <v>51.179181</v>
      </c>
      <c r="AC280">
        <v>268</v>
      </c>
    </row>
    <row r="281" spans="1:34" x14ac:dyDescent="0.25">
      <c r="A281" t="s">
        <v>579</v>
      </c>
      <c r="B281" s="5" t="s">
        <v>1350</v>
      </c>
      <c r="C281" s="5" t="s">
        <v>1348</v>
      </c>
      <c r="D281" t="s">
        <v>568</v>
      </c>
      <c r="E281">
        <v>230</v>
      </c>
      <c r="F281" t="s">
        <v>580</v>
      </c>
      <c r="G281" s="2" t="s">
        <v>223</v>
      </c>
      <c r="H281">
        <v>32.343604999999997</v>
      </c>
      <c r="I281">
        <v>168</v>
      </c>
      <c r="J281" t="s">
        <v>1282</v>
      </c>
      <c r="K281" t="s">
        <v>1327</v>
      </c>
      <c r="N281" t="str" cm="1">
        <f t="array" ref="N281:N283">G281:G283</f>
        <v>f</v>
      </c>
      <c r="V281" cm="1">
        <f t="array" ref="V281:V283">H281:H283</f>
        <v>32.343604999999997</v>
      </c>
      <c r="AD281" cm="1">
        <f t="array" ref="AD281:AD283">I281:I283</f>
        <v>168</v>
      </c>
    </row>
    <row r="282" spans="1:34" x14ac:dyDescent="0.25">
      <c r="A282" t="s">
        <v>581</v>
      </c>
      <c r="B282" s="5" t="s">
        <v>1350</v>
      </c>
      <c r="C282" s="5" t="s">
        <v>1348</v>
      </c>
      <c r="D282" t="s">
        <v>568</v>
      </c>
      <c r="E282">
        <v>230</v>
      </c>
      <c r="F282" t="s">
        <v>582</v>
      </c>
      <c r="G282" s="2" t="s">
        <v>223</v>
      </c>
      <c r="H282">
        <v>56.257114000000001</v>
      </c>
      <c r="I282">
        <v>279</v>
      </c>
      <c r="J282" t="s">
        <v>1282</v>
      </c>
      <c r="K282" t="s">
        <v>1327</v>
      </c>
      <c r="N282" t="str">
        <v>f</v>
      </c>
      <c r="V282">
        <v>56.257114000000001</v>
      </c>
      <c r="AD282">
        <v>279</v>
      </c>
    </row>
    <row r="283" spans="1:34" x14ac:dyDescent="0.25">
      <c r="A283" t="s">
        <v>583</v>
      </c>
      <c r="B283" s="5" t="s">
        <v>1350</v>
      </c>
      <c r="C283" s="5" t="s">
        <v>1348</v>
      </c>
      <c r="D283" t="s">
        <v>568</v>
      </c>
      <c r="E283">
        <v>230</v>
      </c>
      <c r="F283" t="s">
        <v>584</v>
      </c>
      <c r="G283" s="2" t="s">
        <v>223</v>
      </c>
      <c r="H283">
        <v>51.105998999999997</v>
      </c>
      <c r="I283">
        <v>256</v>
      </c>
      <c r="J283" t="s">
        <v>1282</v>
      </c>
      <c r="K283" t="s">
        <v>1327</v>
      </c>
      <c r="N283" t="str">
        <v>f</v>
      </c>
      <c r="V283">
        <v>51.105998999999997</v>
      </c>
      <c r="AD283">
        <v>256</v>
      </c>
    </row>
    <row r="284" spans="1:34" x14ac:dyDescent="0.25">
      <c r="A284" t="s">
        <v>585</v>
      </c>
      <c r="B284" s="5" t="s">
        <v>1350</v>
      </c>
      <c r="C284" s="5" t="s">
        <v>1348</v>
      </c>
      <c r="D284" t="s">
        <v>568</v>
      </c>
      <c r="E284">
        <v>203</v>
      </c>
      <c r="F284" t="s">
        <v>586</v>
      </c>
      <c r="G284" s="2" t="s">
        <v>223</v>
      </c>
      <c r="H284">
        <v>22.428205999999999</v>
      </c>
      <c r="I284">
        <v>119</v>
      </c>
      <c r="J284" t="s">
        <v>1282</v>
      </c>
      <c r="K284" t="s">
        <v>1327</v>
      </c>
      <c r="O284" t="str" cm="1">
        <f t="array" ref="O284:O286">G284:G286</f>
        <v>f</v>
      </c>
      <c r="W284" cm="1">
        <f t="array" ref="W284:W286">H284:H286</f>
        <v>22.428205999999999</v>
      </c>
      <c r="AE284" cm="1">
        <f t="array" ref="AE284:AE286">I284:I286</f>
        <v>119</v>
      </c>
    </row>
    <row r="285" spans="1:34" x14ac:dyDescent="0.25">
      <c r="A285" t="s">
        <v>587</v>
      </c>
      <c r="B285" s="5" t="s">
        <v>1350</v>
      </c>
      <c r="C285" s="5" t="s">
        <v>1348</v>
      </c>
      <c r="D285" t="s">
        <v>568</v>
      </c>
      <c r="E285">
        <v>203</v>
      </c>
      <c r="F285" t="s">
        <v>588</v>
      </c>
      <c r="G285" s="2" t="s">
        <v>223</v>
      </c>
      <c r="H285">
        <v>10.962281000000001</v>
      </c>
      <c r="I285">
        <v>55</v>
      </c>
      <c r="J285" t="s">
        <v>1282</v>
      </c>
      <c r="K285" t="s">
        <v>1327</v>
      </c>
      <c r="O285" t="str">
        <v>f</v>
      </c>
      <c r="W285">
        <v>10.962281000000001</v>
      </c>
      <c r="AE285">
        <v>55</v>
      </c>
    </row>
    <row r="286" spans="1:34" x14ac:dyDescent="0.25">
      <c r="A286" t="s">
        <v>589</v>
      </c>
      <c r="B286" s="5" t="s">
        <v>1350</v>
      </c>
      <c r="C286" s="5" t="s">
        <v>1348</v>
      </c>
      <c r="D286" t="s">
        <v>568</v>
      </c>
      <c r="E286">
        <v>203</v>
      </c>
      <c r="F286" t="s">
        <v>590</v>
      </c>
      <c r="G286" s="2" t="s">
        <v>223</v>
      </c>
      <c r="H286">
        <v>19.088857000000001</v>
      </c>
      <c r="I286">
        <v>97</v>
      </c>
      <c r="J286" t="s">
        <v>1282</v>
      </c>
      <c r="K286" t="s">
        <v>1327</v>
      </c>
      <c r="O286" t="str">
        <v>f</v>
      </c>
      <c r="W286">
        <v>19.088857000000001</v>
      </c>
      <c r="AE286">
        <v>97</v>
      </c>
    </row>
    <row r="287" spans="1:34" x14ac:dyDescent="0.25">
      <c r="A287" s="1" t="s">
        <v>591</v>
      </c>
      <c r="B287" s="5" t="s">
        <v>1350</v>
      </c>
      <c r="C287" s="5" t="s">
        <v>1348</v>
      </c>
      <c r="D287" t="s">
        <v>568</v>
      </c>
      <c r="E287">
        <v>201</v>
      </c>
      <c r="F287" t="s">
        <v>592</v>
      </c>
      <c r="G287" s="2" t="s">
        <v>223</v>
      </c>
      <c r="H287">
        <v>33.879291000000002</v>
      </c>
      <c r="I287">
        <v>171</v>
      </c>
      <c r="J287" t="s">
        <v>1282</v>
      </c>
      <c r="K287" t="s">
        <v>1327</v>
      </c>
      <c r="P287" t="str" cm="1">
        <f t="array" ref="P287:P289">G287:G289</f>
        <v>f</v>
      </c>
      <c r="X287" cm="1">
        <f t="array" ref="X287:X289">H287:H289</f>
        <v>33.879291000000002</v>
      </c>
      <c r="AF287" cm="1">
        <f t="array" ref="AF287:AF289">I287:I289</f>
        <v>171</v>
      </c>
    </row>
    <row r="288" spans="1:34" x14ac:dyDescent="0.25">
      <c r="A288" s="1" t="s">
        <v>593</v>
      </c>
      <c r="B288" s="5" t="s">
        <v>1350</v>
      </c>
      <c r="C288" s="5" t="s">
        <v>1348</v>
      </c>
      <c r="D288" t="s">
        <v>568</v>
      </c>
      <c r="E288">
        <v>201</v>
      </c>
      <c r="F288" t="s">
        <v>594</v>
      </c>
      <c r="G288" s="2" t="s">
        <v>222</v>
      </c>
      <c r="H288">
        <v>49.968888999999997</v>
      </c>
      <c r="I288">
        <v>261</v>
      </c>
      <c r="J288" t="s">
        <v>1282</v>
      </c>
      <c r="K288" t="s">
        <v>1327</v>
      </c>
      <c r="P288" t="str">
        <v>t</v>
      </c>
      <c r="X288">
        <v>49.968888999999997</v>
      </c>
      <c r="AF288">
        <v>261</v>
      </c>
    </row>
    <row r="289" spans="1:34" x14ac:dyDescent="0.25">
      <c r="A289" s="1" t="s">
        <v>595</v>
      </c>
      <c r="B289" s="5" t="s">
        <v>1350</v>
      </c>
      <c r="C289" s="5" t="s">
        <v>1348</v>
      </c>
      <c r="D289" t="s">
        <v>568</v>
      </c>
      <c r="E289">
        <v>201</v>
      </c>
      <c r="F289" t="s">
        <v>596</v>
      </c>
      <c r="G289" s="2" t="s">
        <v>223</v>
      </c>
      <c r="H289">
        <v>38.711741000000004</v>
      </c>
      <c r="I289">
        <v>196</v>
      </c>
      <c r="J289" t="s">
        <v>1282</v>
      </c>
      <c r="K289" t="s">
        <v>1327</v>
      </c>
      <c r="P289" t="str">
        <v>f</v>
      </c>
      <c r="X289">
        <v>38.711741000000004</v>
      </c>
      <c r="AF289">
        <v>196</v>
      </c>
    </row>
    <row r="290" spans="1:34" x14ac:dyDescent="0.25">
      <c r="A290" t="s">
        <v>597</v>
      </c>
      <c r="B290" s="5" t="s">
        <v>1350</v>
      </c>
      <c r="C290" s="5" t="s">
        <v>1348</v>
      </c>
      <c r="D290" t="s">
        <v>568</v>
      </c>
      <c r="E290">
        <v>202</v>
      </c>
      <c r="F290" t="s">
        <v>598</v>
      </c>
      <c r="G290" s="2" t="s">
        <v>223</v>
      </c>
      <c r="H290">
        <v>52.399068</v>
      </c>
      <c r="I290">
        <v>267</v>
      </c>
      <c r="J290" t="s">
        <v>1282</v>
      </c>
      <c r="K290" t="s">
        <v>1327</v>
      </c>
      <c r="Q290" t="str" cm="1">
        <f t="array" ref="Q290:Q292">G290:G292</f>
        <v>f</v>
      </c>
      <c r="Y290" cm="1">
        <f t="array" ref="Y290:Y292">H290:H292</f>
        <v>52.399068</v>
      </c>
      <c r="AG290" cm="1">
        <f t="array" ref="AG290:AG292">I290:I292</f>
        <v>267</v>
      </c>
    </row>
    <row r="291" spans="1:34" x14ac:dyDescent="0.25">
      <c r="A291" t="s">
        <v>599</v>
      </c>
      <c r="B291" s="5" t="s">
        <v>1350</v>
      </c>
      <c r="C291" s="5" t="s">
        <v>1348</v>
      </c>
      <c r="D291" t="s">
        <v>568</v>
      </c>
      <c r="E291">
        <v>202</v>
      </c>
      <c r="F291" t="s">
        <v>600</v>
      </c>
      <c r="G291" s="2" t="s">
        <v>223</v>
      </c>
      <c r="H291">
        <v>66.102292000000006</v>
      </c>
      <c r="I291">
        <v>314</v>
      </c>
      <c r="J291" t="s">
        <v>1282</v>
      </c>
      <c r="K291" t="s">
        <v>1327</v>
      </c>
      <c r="Q291" t="str">
        <v>f</v>
      </c>
      <c r="Y291">
        <v>66.102292000000006</v>
      </c>
      <c r="AG291">
        <v>314</v>
      </c>
    </row>
    <row r="292" spans="1:34" x14ac:dyDescent="0.25">
      <c r="A292" t="s">
        <v>601</v>
      </c>
      <c r="B292" s="5" t="s">
        <v>1350</v>
      </c>
      <c r="C292" s="5" t="s">
        <v>1348</v>
      </c>
      <c r="D292" t="s">
        <v>568</v>
      </c>
      <c r="E292">
        <v>202</v>
      </c>
      <c r="F292" t="s">
        <v>602</v>
      </c>
      <c r="G292" s="2" t="s">
        <v>223</v>
      </c>
      <c r="H292">
        <v>30.278835999999998</v>
      </c>
      <c r="I292">
        <v>146</v>
      </c>
      <c r="J292" t="s">
        <v>1282</v>
      </c>
      <c r="K292" t="s">
        <v>1327</v>
      </c>
      <c r="Q292" t="str">
        <v>f</v>
      </c>
      <c r="Y292">
        <v>30.278835999999998</v>
      </c>
      <c r="AG292">
        <v>146</v>
      </c>
    </row>
    <row r="293" spans="1:34" x14ac:dyDescent="0.25">
      <c r="A293" t="s">
        <v>603</v>
      </c>
      <c r="B293" s="5" t="s">
        <v>1350</v>
      </c>
      <c r="C293" s="5" t="s">
        <v>1348</v>
      </c>
      <c r="D293" t="s">
        <v>568</v>
      </c>
      <c r="E293">
        <v>206</v>
      </c>
      <c r="F293" t="s">
        <v>604</v>
      </c>
      <c r="G293" s="2" t="s">
        <v>223</v>
      </c>
      <c r="H293">
        <v>66.770735999999999</v>
      </c>
      <c r="I293">
        <v>320</v>
      </c>
      <c r="J293" t="s">
        <v>1282</v>
      </c>
      <c r="K293" t="s">
        <v>1327</v>
      </c>
      <c r="R293" t="str" cm="1">
        <f t="array" ref="R293:R295">G293:G295</f>
        <v>f</v>
      </c>
      <c r="Z293" cm="1">
        <f t="array" ref="Z293:Z295">H293:H295</f>
        <v>66.770735999999999</v>
      </c>
      <c r="AH293" cm="1">
        <f t="array" ref="AH293:AH295">I293:I295</f>
        <v>320</v>
      </c>
    </row>
    <row r="294" spans="1:34" x14ac:dyDescent="0.25">
      <c r="A294" t="s">
        <v>605</v>
      </c>
      <c r="B294" s="5" t="s">
        <v>1350</v>
      </c>
      <c r="C294" s="5" t="s">
        <v>1348</v>
      </c>
      <c r="D294" t="s">
        <v>568</v>
      </c>
      <c r="E294">
        <v>206</v>
      </c>
      <c r="F294" t="s">
        <v>606</v>
      </c>
      <c r="G294" s="2" t="s">
        <v>223</v>
      </c>
      <c r="H294">
        <v>98.119851999999995</v>
      </c>
      <c r="I294">
        <v>502</v>
      </c>
      <c r="J294" t="s">
        <v>1282</v>
      </c>
      <c r="K294" t="s">
        <v>1327</v>
      </c>
      <c r="R294" t="str">
        <v>f</v>
      </c>
      <c r="Z294">
        <v>98.119851999999995</v>
      </c>
      <c r="AH294">
        <v>502</v>
      </c>
    </row>
    <row r="295" spans="1:34" s="3" customFormat="1" x14ac:dyDescent="0.25">
      <c r="A295" s="3" t="s">
        <v>607</v>
      </c>
      <c r="B295" s="5" t="s">
        <v>1350</v>
      </c>
      <c r="C295" s="5" t="s">
        <v>1348</v>
      </c>
      <c r="D295" s="3" t="s">
        <v>568</v>
      </c>
      <c r="E295" s="3">
        <v>206</v>
      </c>
      <c r="F295" s="3" t="s">
        <v>608</v>
      </c>
      <c r="G295" s="4" t="s">
        <v>223</v>
      </c>
      <c r="H295" s="3">
        <v>34.746174000000003</v>
      </c>
      <c r="I295" s="3">
        <v>178</v>
      </c>
      <c r="J295" s="3" t="s">
        <v>1282</v>
      </c>
      <c r="K295" s="3" t="s">
        <v>1327</v>
      </c>
      <c r="R295" s="3" t="str">
        <v>f</v>
      </c>
      <c r="Z295" s="3">
        <v>34.746174000000003</v>
      </c>
      <c r="AH295" s="3">
        <v>178</v>
      </c>
    </row>
    <row r="296" spans="1:34" s="5" customFormat="1" x14ac:dyDescent="0.25">
      <c r="A296" s="5" t="s">
        <v>609</v>
      </c>
      <c r="B296" s="5" t="s">
        <v>1319</v>
      </c>
      <c r="C296" s="5" t="s">
        <v>1348</v>
      </c>
      <c r="D296" s="5" t="s">
        <v>610</v>
      </c>
      <c r="E296" s="5">
        <v>112</v>
      </c>
      <c r="F296" s="5" t="s">
        <v>611</v>
      </c>
      <c r="G296" s="6" t="s">
        <v>223</v>
      </c>
      <c r="H296" s="5">
        <v>7.854762</v>
      </c>
      <c r="I296" s="5">
        <v>46</v>
      </c>
      <c r="J296" s="5" t="s">
        <v>1283</v>
      </c>
      <c r="K296" s="5" t="s">
        <v>1327</v>
      </c>
      <c r="L296" s="5" t="str" cm="1">
        <f t="array" ref="L296:L298">G296:G298</f>
        <v>f</v>
      </c>
      <c r="T296" s="5" cm="1">
        <f t="array" ref="T296:T298">H296:H298</f>
        <v>7.854762</v>
      </c>
      <c r="AB296" s="5" cm="1">
        <f t="array" ref="AB296:AB298">I296:I298</f>
        <v>46</v>
      </c>
    </row>
    <row r="297" spans="1:34" x14ac:dyDescent="0.25">
      <c r="A297" t="s">
        <v>612</v>
      </c>
      <c r="B297" s="5" t="s">
        <v>1319</v>
      </c>
      <c r="C297" s="5" t="s">
        <v>1348</v>
      </c>
      <c r="D297" t="s">
        <v>610</v>
      </c>
      <c r="E297">
        <v>112</v>
      </c>
      <c r="F297" t="s">
        <v>613</v>
      </c>
      <c r="G297" s="2" t="s">
        <v>223</v>
      </c>
      <c r="H297">
        <v>4.8139890000000003</v>
      </c>
      <c r="I297">
        <v>30</v>
      </c>
      <c r="J297" t="s">
        <v>1283</v>
      </c>
      <c r="K297" t="s">
        <v>1327</v>
      </c>
      <c r="L297" t="str">
        <v>f</v>
      </c>
      <c r="T297">
        <v>4.8139890000000003</v>
      </c>
      <c r="AB297">
        <v>30</v>
      </c>
    </row>
    <row r="298" spans="1:34" x14ac:dyDescent="0.25">
      <c r="A298" t="s">
        <v>614</v>
      </c>
      <c r="B298" s="5" t="s">
        <v>1319</v>
      </c>
      <c r="C298" s="5" t="s">
        <v>1348</v>
      </c>
      <c r="D298" t="s">
        <v>610</v>
      </c>
      <c r="E298">
        <v>112</v>
      </c>
      <c r="F298" t="s">
        <v>615</v>
      </c>
      <c r="G298" s="2" t="s">
        <v>222</v>
      </c>
      <c r="H298">
        <v>2.7320489999999999</v>
      </c>
      <c r="I298">
        <v>16</v>
      </c>
      <c r="J298" t="s">
        <v>1283</v>
      </c>
      <c r="K298" t="s">
        <v>1327</v>
      </c>
      <c r="L298" t="str">
        <v>t</v>
      </c>
      <c r="T298">
        <v>2.7320489999999999</v>
      </c>
      <c r="AB298">
        <v>16</v>
      </c>
    </row>
    <row r="299" spans="1:34" x14ac:dyDescent="0.25">
      <c r="A299" t="s">
        <v>616</v>
      </c>
      <c r="B299" s="5" t="s">
        <v>1319</v>
      </c>
      <c r="C299" s="5" t="s">
        <v>1348</v>
      </c>
      <c r="D299" t="s">
        <v>610</v>
      </c>
      <c r="E299">
        <v>122</v>
      </c>
      <c r="F299" t="s">
        <v>617</v>
      </c>
      <c r="G299" s="2" t="s">
        <v>222</v>
      </c>
      <c r="H299">
        <v>51.584975</v>
      </c>
      <c r="I299">
        <v>267</v>
      </c>
      <c r="J299" t="s">
        <v>1283</v>
      </c>
      <c r="K299" t="s">
        <v>1327</v>
      </c>
      <c r="M299" t="str" cm="1">
        <f t="array" ref="M299:M301">G299:G301</f>
        <v>t</v>
      </c>
      <c r="U299" cm="1">
        <f t="array" ref="U299:U301">H299:H301</f>
        <v>51.584975</v>
      </c>
      <c r="AC299" cm="1">
        <f t="array" ref="AC299:AC301">I299:I301</f>
        <v>267</v>
      </c>
    </row>
    <row r="300" spans="1:34" x14ac:dyDescent="0.25">
      <c r="A300" t="s">
        <v>618</v>
      </c>
      <c r="B300" s="5" t="s">
        <v>1319</v>
      </c>
      <c r="C300" s="5" t="s">
        <v>1348</v>
      </c>
      <c r="D300" t="s">
        <v>610</v>
      </c>
      <c r="E300">
        <v>122</v>
      </c>
      <c r="F300" t="s">
        <v>619</v>
      </c>
      <c r="G300" s="2" t="s">
        <v>222</v>
      </c>
      <c r="H300">
        <v>46.575443</v>
      </c>
      <c r="I300">
        <v>242</v>
      </c>
      <c r="J300" t="s">
        <v>1283</v>
      </c>
      <c r="K300" t="s">
        <v>1327</v>
      </c>
      <c r="M300" t="str">
        <v>t</v>
      </c>
      <c r="U300">
        <v>46.575443</v>
      </c>
      <c r="AC300">
        <v>242</v>
      </c>
    </row>
    <row r="301" spans="1:34" x14ac:dyDescent="0.25">
      <c r="A301" t="s">
        <v>620</v>
      </c>
      <c r="B301" s="5" t="s">
        <v>1319</v>
      </c>
      <c r="C301" s="5" t="s">
        <v>1348</v>
      </c>
      <c r="D301" t="s">
        <v>610</v>
      </c>
      <c r="E301">
        <v>122</v>
      </c>
      <c r="F301" t="s">
        <v>621</v>
      </c>
      <c r="G301" s="2" t="s">
        <v>222</v>
      </c>
      <c r="H301">
        <v>34.310008000000003</v>
      </c>
      <c r="I301">
        <v>183</v>
      </c>
      <c r="J301" t="s">
        <v>1283</v>
      </c>
      <c r="K301" t="s">
        <v>1327</v>
      </c>
      <c r="M301" t="str">
        <v>t</v>
      </c>
      <c r="U301">
        <v>34.310008000000003</v>
      </c>
      <c r="AC301">
        <v>183</v>
      </c>
    </row>
    <row r="302" spans="1:34" x14ac:dyDescent="0.25">
      <c r="A302" t="s">
        <v>622</v>
      </c>
      <c r="B302" s="5" t="s">
        <v>1319</v>
      </c>
      <c r="C302" s="5" t="s">
        <v>1348</v>
      </c>
      <c r="D302" t="s">
        <v>610</v>
      </c>
      <c r="E302">
        <v>177</v>
      </c>
      <c r="F302" t="s">
        <v>623</v>
      </c>
      <c r="G302" s="2" t="s">
        <v>223</v>
      </c>
      <c r="H302">
        <v>34.861412999999999</v>
      </c>
      <c r="I302">
        <v>188</v>
      </c>
      <c r="J302" t="s">
        <v>1283</v>
      </c>
      <c r="K302" t="s">
        <v>1327</v>
      </c>
      <c r="N302" t="str" cm="1">
        <f t="array" ref="N302:N304">G302:G304</f>
        <v>f</v>
      </c>
      <c r="V302" cm="1">
        <f t="array" ref="V302:V304">H302:H304</f>
        <v>34.861412999999999</v>
      </c>
      <c r="AD302" cm="1">
        <f t="array" ref="AD302:AD304">I302:I304</f>
        <v>188</v>
      </c>
    </row>
    <row r="303" spans="1:34" x14ac:dyDescent="0.25">
      <c r="A303" t="s">
        <v>624</v>
      </c>
      <c r="B303" s="5" t="s">
        <v>1319</v>
      </c>
      <c r="C303" s="5" t="s">
        <v>1348</v>
      </c>
      <c r="D303" t="s">
        <v>610</v>
      </c>
      <c r="E303">
        <v>177</v>
      </c>
      <c r="F303" t="s">
        <v>625</v>
      </c>
      <c r="G303" s="2" t="s">
        <v>222</v>
      </c>
      <c r="H303">
        <v>33.824278999999997</v>
      </c>
      <c r="I303">
        <v>173</v>
      </c>
      <c r="J303" t="s">
        <v>1283</v>
      </c>
      <c r="K303" t="s">
        <v>1327</v>
      </c>
      <c r="N303" t="str">
        <v>t</v>
      </c>
      <c r="V303">
        <v>33.824278999999997</v>
      </c>
      <c r="AD303">
        <v>173</v>
      </c>
    </row>
    <row r="304" spans="1:34" x14ac:dyDescent="0.25">
      <c r="A304" t="s">
        <v>626</v>
      </c>
      <c r="B304" s="5" t="s">
        <v>1319</v>
      </c>
      <c r="C304" s="5" t="s">
        <v>1348</v>
      </c>
      <c r="D304" t="s">
        <v>610</v>
      </c>
      <c r="E304">
        <v>177</v>
      </c>
      <c r="F304" t="s">
        <v>627</v>
      </c>
      <c r="G304" s="2" t="s">
        <v>222</v>
      </c>
      <c r="H304">
        <v>41.559778000000001</v>
      </c>
      <c r="I304">
        <v>218</v>
      </c>
      <c r="J304" t="s">
        <v>1283</v>
      </c>
      <c r="K304" t="s">
        <v>1327</v>
      </c>
      <c r="N304" t="str">
        <v>t</v>
      </c>
      <c r="V304">
        <v>41.559778000000001</v>
      </c>
      <c r="AD304">
        <v>218</v>
      </c>
    </row>
    <row r="305" spans="1:34" x14ac:dyDescent="0.25">
      <c r="A305" t="s">
        <v>628</v>
      </c>
      <c r="B305" s="5" t="s">
        <v>1319</v>
      </c>
      <c r="C305" s="5" t="s">
        <v>1348</v>
      </c>
      <c r="D305" t="s">
        <v>610</v>
      </c>
      <c r="E305">
        <v>150</v>
      </c>
      <c r="F305" t="s">
        <v>629</v>
      </c>
      <c r="G305" s="2" t="s">
        <v>223</v>
      </c>
      <c r="H305">
        <v>34.767671999999997</v>
      </c>
      <c r="I305">
        <v>186</v>
      </c>
      <c r="J305" t="s">
        <v>1283</v>
      </c>
      <c r="K305" t="s">
        <v>1327</v>
      </c>
      <c r="O305" t="str" cm="1">
        <f t="array" ref="O305:O307">G305:G307</f>
        <v>f</v>
      </c>
      <c r="W305" cm="1">
        <f t="array" ref="W305:W307">H305:H307</f>
        <v>34.767671999999997</v>
      </c>
      <c r="AE305" cm="1">
        <f t="array" ref="AE305:AE307">I305:I307</f>
        <v>186</v>
      </c>
    </row>
    <row r="306" spans="1:34" x14ac:dyDescent="0.25">
      <c r="A306" t="s">
        <v>630</v>
      </c>
      <c r="B306" s="5" t="s">
        <v>1319</v>
      </c>
      <c r="C306" s="5" t="s">
        <v>1348</v>
      </c>
      <c r="D306" t="s">
        <v>610</v>
      </c>
      <c r="E306">
        <v>150</v>
      </c>
      <c r="F306" t="s">
        <v>631</v>
      </c>
      <c r="G306" s="2" t="s">
        <v>223</v>
      </c>
      <c r="H306">
        <v>7.3390829999999996</v>
      </c>
      <c r="I306">
        <v>38</v>
      </c>
      <c r="J306" t="s">
        <v>1283</v>
      </c>
      <c r="K306" t="s">
        <v>1327</v>
      </c>
      <c r="O306" t="str">
        <v>f</v>
      </c>
      <c r="W306">
        <v>7.3390829999999996</v>
      </c>
      <c r="AE306">
        <v>38</v>
      </c>
    </row>
    <row r="307" spans="1:34" x14ac:dyDescent="0.25">
      <c r="A307" t="s">
        <v>632</v>
      </c>
      <c r="B307" s="5" t="s">
        <v>1319</v>
      </c>
      <c r="C307" s="5" t="s">
        <v>1348</v>
      </c>
      <c r="D307" t="s">
        <v>610</v>
      </c>
      <c r="E307">
        <v>150</v>
      </c>
      <c r="F307" t="s">
        <v>633</v>
      </c>
      <c r="G307" s="2" t="s">
        <v>222</v>
      </c>
      <c r="H307">
        <v>49.193116000000003</v>
      </c>
      <c r="I307">
        <v>251</v>
      </c>
      <c r="J307" t="s">
        <v>1283</v>
      </c>
      <c r="K307" t="s">
        <v>1327</v>
      </c>
      <c r="O307" t="str">
        <v>t</v>
      </c>
      <c r="W307">
        <v>49.193116000000003</v>
      </c>
      <c r="AE307">
        <v>251</v>
      </c>
    </row>
    <row r="308" spans="1:34" x14ac:dyDescent="0.25">
      <c r="A308" s="1" t="s">
        <v>634</v>
      </c>
      <c r="B308" s="5" t="s">
        <v>1319</v>
      </c>
      <c r="C308" s="5" t="s">
        <v>1348</v>
      </c>
      <c r="D308" t="s">
        <v>610</v>
      </c>
      <c r="E308">
        <v>148</v>
      </c>
      <c r="F308" t="s">
        <v>635</v>
      </c>
      <c r="G308" s="2" t="s">
        <v>222</v>
      </c>
      <c r="H308">
        <v>34.708761000000003</v>
      </c>
      <c r="I308">
        <v>181</v>
      </c>
      <c r="J308" t="s">
        <v>1283</v>
      </c>
      <c r="K308" t="s">
        <v>1327</v>
      </c>
      <c r="P308" t="str" cm="1">
        <f t="array" ref="P308:P310">G308:G310</f>
        <v>t</v>
      </c>
      <c r="X308" cm="1">
        <f t="array" ref="X308:X310">H308:H310</f>
        <v>34.708761000000003</v>
      </c>
      <c r="AF308" cm="1">
        <f t="array" ref="AF308:AF310">I308:I310</f>
        <v>181</v>
      </c>
    </row>
    <row r="309" spans="1:34" x14ac:dyDescent="0.25">
      <c r="A309" s="1" t="s">
        <v>636</v>
      </c>
      <c r="B309" s="5" t="s">
        <v>1319</v>
      </c>
      <c r="C309" s="5" t="s">
        <v>1348</v>
      </c>
      <c r="D309" t="s">
        <v>610</v>
      </c>
      <c r="E309">
        <v>148</v>
      </c>
      <c r="F309" t="s">
        <v>637</v>
      </c>
      <c r="G309" s="2" t="s">
        <v>222</v>
      </c>
      <c r="H309">
        <v>37.529032999999998</v>
      </c>
      <c r="I309">
        <v>196</v>
      </c>
      <c r="J309" t="s">
        <v>1283</v>
      </c>
      <c r="K309" t="s">
        <v>1327</v>
      </c>
      <c r="P309" t="str">
        <v>t</v>
      </c>
      <c r="X309">
        <v>37.529032999999998</v>
      </c>
      <c r="AF309">
        <v>196</v>
      </c>
    </row>
    <row r="310" spans="1:34" x14ac:dyDescent="0.25">
      <c r="A310" s="1" t="s">
        <v>638</v>
      </c>
      <c r="B310" s="5" t="s">
        <v>1319</v>
      </c>
      <c r="C310" s="5" t="s">
        <v>1348</v>
      </c>
      <c r="D310" t="s">
        <v>610</v>
      </c>
      <c r="E310">
        <v>148</v>
      </c>
      <c r="F310" t="s">
        <v>639</v>
      </c>
      <c r="G310" s="2" t="s">
        <v>223</v>
      </c>
      <c r="H310">
        <v>30.376593</v>
      </c>
      <c r="I310">
        <v>161</v>
      </c>
      <c r="J310" t="s">
        <v>1283</v>
      </c>
      <c r="K310" t="s">
        <v>1327</v>
      </c>
      <c r="P310" t="str">
        <v>f</v>
      </c>
      <c r="X310">
        <v>30.376593</v>
      </c>
      <c r="AF310">
        <v>161</v>
      </c>
    </row>
    <row r="311" spans="1:34" x14ac:dyDescent="0.25">
      <c r="A311" t="s">
        <v>640</v>
      </c>
      <c r="B311" s="5" t="s">
        <v>1319</v>
      </c>
      <c r="C311" s="5" t="s">
        <v>1348</v>
      </c>
      <c r="D311" t="s">
        <v>610</v>
      </c>
      <c r="E311">
        <v>149</v>
      </c>
      <c r="F311" t="s">
        <v>641</v>
      </c>
      <c r="G311" s="2" t="s">
        <v>222</v>
      </c>
      <c r="H311">
        <v>36.883482999999998</v>
      </c>
      <c r="I311">
        <v>185</v>
      </c>
      <c r="J311" t="s">
        <v>1283</v>
      </c>
      <c r="K311" t="s">
        <v>1327</v>
      </c>
      <c r="Q311" t="str" cm="1">
        <f t="array" ref="Q311:Q313">G311:G313</f>
        <v>t</v>
      </c>
      <c r="Y311" cm="1">
        <f t="array" ref="Y311:Y313">H311:H313</f>
        <v>36.883482999999998</v>
      </c>
      <c r="AG311" cm="1">
        <f t="array" ref="AG311:AG313">I311:I313</f>
        <v>185</v>
      </c>
    </row>
    <row r="312" spans="1:34" x14ac:dyDescent="0.25">
      <c r="A312" t="s">
        <v>642</v>
      </c>
      <c r="B312" s="5" t="s">
        <v>1319</v>
      </c>
      <c r="C312" s="5" t="s">
        <v>1348</v>
      </c>
      <c r="D312" t="s">
        <v>610</v>
      </c>
      <c r="E312">
        <v>149</v>
      </c>
      <c r="F312" t="s">
        <v>643</v>
      </c>
      <c r="G312" s="2" t="s">
        <v>223</v>
      </c>
      <c r="H312">
        <v>52.130963999999999</v>
      </c>
      <c r="I312">
        <v>258</v>
      </c>
      <c r="J312" t="s">
        <v>1283</v>
      </c>
      <c r="K312" t="s">
        <v>1327</v>
      </c>
      <c r="Q312" t="str">
        <v>f</v>
      </c>
      <c r="Y312">
        <v>52.130963999999999</v>
      </c>
      <c r="AG312">
        <v>258</v>
      </c>
    </row>
    <row r="313" spans="1:34" x14ac:dyDescent="0.25">
      <c r="A313" t="s">
        <v>644</v>
      </c>
      <c r="B313" s="5" t="s">
        <v>1319</v>
      </c>
      <c r="C313" s="5" t="s">
        <v>1348</v>
      </c>
      <c r="D313" t="s">
        <v>610</v>
      </c>
      <c r="E313">
        <v>149</v>
      </c>
      <c r="F313" t="s">
        <v>645</v>
      </c>
      <c r="G313" s="2" t="s">
        <v>223</v>
      </c>
      <c r="H313">
        <v>46.023772999999998</v>
      </c>
      <c r="I313">
        <v>223</v>
      </c>
      <c r="J313" t="s">
        <v>1283</v>
      </c>
      <c r="K313" t="s">
        <v>1327</v>
      </c>
      <c r="Q313" t="str">
        <v>f</v>
      </c>
      <c r="Y313">
        <v>46.023772999999998</v>
      </c>
      <c r="AG313">
        <v>223</v>
      </c>
    </row>
    <row r="314" spans="1:34" x14ac:dyDescent="0.25">
      <c r="A314" t="s">
        <v>646</v>
      </c>
      <c r="B314" s="5" t="s">
        <v>1319</v>
      </c>
      <c r="C314" s="5" t="s">
        <v>1348</v>
      </c>
      <c r="D314" t="s">
        <v>610</v>
      </c>
      <c r="E314">
        <v>153</v>
      </c>
      <c r="F314" t="s">
        <v>647</v>
      </c>
      <c r="G314" s="2" t="s">
        <v>222</v>
      </c>
      <c r="H314">
        <v>21.591197999999999</v>
      </c>
      <c r="I314">
        <v>107</v>
      </c>
      <c r="J314" t="s">
        <v>1283</v>
      </c>
      <c r="K314" t="s">
        <v>1327</v>
      </c>
      <c r="R314" t="str" cm="1">
        <f t="array" ref="R314:R316">G314:G316</f>
        <v>t</v>
      </c>
      <c r="Z314" cm="1">
        <f t="array" ref="Z314:Z316">H314:H316</f>
        <v>21.591197999999999</v>
      </c>
      <c r="AH314" cm="1">
        <f t="array" ref="AH314:AH316">I314:I316</f>
        <v>107</v>
      </c>
    </row>
    <row r="315" spans="1:34" x14ac:dyDescent="0.25">
      <c r="A315" t="s">
        <v>648</v>
      </c>
      <c r="B315" s="5" t="s">
        <v>1319</v>
      </c>
      <c r="C315" s="5" t="s">
        <v>1348</v>
      </c>
      <c r="D315" t="s">
        <v>610</v>
      </c>
      <c r="E315">
        <v>153</v>
      </c>
      <c r="F315" t="s">
        <v>649</v>
      </c>
      <c r="G315" s="2" t="s">
        <v>222</v>
      </c>
      <c r="H315">
        <v>37.357415000000003</v>
      </c>
      <c r="I315">
        <v>179</v>
      </c>
      <c r="J315" t="s">
        <v>1283</v>
      </c>
      <c r="K315" t="s">
        <v>1327</v>
      </c>
      <c r="R315" t="str">
        <v>t</v>
      </c>
      <c r="Z315">
        <v>37.357415000000003</v>
      </c>
      <c r="AH315">
        <v>179</v>
      </c>
    </row>
    <row r="316" spans="1:34" s="3" customFormat="1" x14ac:dyDescent="0.25">
      <c r="A316" s="3" t="s">
        <v>650</v>
      </c>
      <c r="B316" s="5" t="s">
        <v>1319</v>
      </c>
      <c r="C316" s="5" t="s">
        <v>1348</v>
      </c>
      <c r="D316" s="3" t="s">
        <v>610</v>
      </c>
      <c r="E316" s="3">
        <v>153</v>
      </c>
      <c r="F316" s="3" t="s">
        <v>651</v>
      </c>
      <c r="G316" s="4" t="s">
        <v>223</v>
      </c>
      <c r="H316" s="3">
        <v>43.764176999999997</v>
      </c>
      <c r="I316" s="3">
        <v>222</v>
      </c>
      <c r="J316" s="3" t="s">
        <v>1283</v>
      </c>
      <c r="K316" s="3" t="s">
        <v>1327</v>
      </c>
      <c r="R316" s="3" t="str">
        <v>f</v>
      </c>
      <c r="Z316" s="3">
        <v>43.764176999999997</v>
      </c>
      <c r="AH316" s="3">
        <v>222</v>
      </c>
    </row>
    <row r="317" spans="1:34" s="5" customFormat="1" x14ac:dyDescent="0.25">
      <c r="A317" s="5" t="s">
        <v>652</v>
      </c>
      <c r="B317" s="5" t="s">
        <v>1319</v>
      </c>
      <c r="C317" s="5" t="s">
        <v>1347</v>
      </c>
      <c r="D317" s="5" t="s">
        <v>653</v>
      </c>
      <c r="E317" s="5">
        <v>91</v>
      </c>
      <c r="F317" s="5" t="s">
        <v>654</v>
      </c>
      <c r="G317" s="6" t="s">
        <v>222</v>
      </c>
      <c r="H317" s="5">
        <v>3.9564140000000001</v>
      </c>
      <c r="I317" s="5">
        <v>23</v>
      </c>
      <c r="J317" s="5" t="s">
        <v>1284</v>
      </c>
      <c r="K317" s="5" t="s">
        <v>1327</v>
      </c>
      <c r="L317" s="5" t="str" cm="1">
        <f t="array" ref="L317:L319">G317:G319</f>
        <v>t</v>
      </c>
      <c r="T317" s="5" cm="1">
        <f t="array" ref="T317:T319">H317:H319</f>
        <v>3.9564140000000001</v>
      </c>
      <c r="AB317" s="5" cm="1">
        <f t="array" ref="AB317:AB319">I317:I319</f>
        <v>23</v>
      </c>
    </row>
    <row r="318" spans="1:34" x14ac:dyDescent="0.25">
      <c r="A318" t="s">
        <v>655</v>
      </c>
      <c r="B318" s="5" t="s">
        <v>1319</v>
      </c>
      <c r="C318" s="5" t="s">
        <v>1347</v>
      </c>
      <c r="D318" t="s">
        <v>653</v>
      </c>
      <c r="E318">
        <v>91</v>
      </c>
      <c r="F318" t="s">
        <v>656</v>
      </c>
      <c r="G318" s="2" t="s">
        <v>222</v>
      </c>
      <c r="H318">
        <v>4.1054130000000004</v>
      </c>
      <c r="I318">
        <v>25</v>
      </c>
      <c r="J318" t="s">
        <v>1284</v>
      </c>
      <c r="K318" t="s">
        <v>1327</v>
      </c>
      <c r="L318" t="str">
        <v>t</v>
      </c>
      <c r="T318">
        <v>4.1054130000000004</v>
      </c>
      <c r="AB318">
        <v>25</v>
      </c>
    </row>
    <row r="319" spans="1:34" x14ac:dyDescent="0.25">
      <c r="A319" t="s">
        <v>657</v>
      </c>
      <c r="B319" s="5" t="s">
        <v>1319</v>
      </c>
      <c r="C319" s="5" t="s">
        <v>1347</v>
      </c>
      <c r="D319" t="s">
        <v>653</v>
      </c>
      <c r="E319">
        <v>91</v>
      </c>
      <c r="F319" t="s">
        <v>654</v>
      </c>
      <c r="G319" s="2" t="s">
        <v>222</v>
      </c>
      <c r="H319">
        <v>3.9158879999999998</v>
      </c>
      <c r="I319">
        <v>23</v>
      </c>
      <c r="J319" t="s">
        <v>1284</v>
      </c>
      <c r="K319" t="s">
        <v>1327</v>
      </c>
      <c r="L319" t="str">
        <v>t</v>
      </c>
      <c r="T319">
        <v>3.9158879999999998</v>
      </c>
      <c r="AB319">
        <v>23</v>
      </c>
    </row>
    <row r="320" spans="1:34" x14ac:dyDescent="0.25">
      <c r="A320" t="s">
        <v>658</v>
      </c>
      <c r="B320" s="5" t="s">
        <v>1319</v>
      </c>
      <c r="C320" s="5" t="s">
        <v>1347</v>
      </c>
      <c r="D320" t="s">
        <v>653</v>
      </c>
      <c r="E320">
        <v>101</v>
      </c>
      <c r="F320" t="s">
        <v>659</v>
      </c>
      <c r="G320" s="2" t="s">
        <v>222</v>
      </c>
      <c r="H320">
        <v>62.496864000000002</v>
      </c>
      <c r="I320">
        <v>319</v>
      </c>
      <c r="J320" t="s">
        <v>1284</v>
      </c>
      <c r="K320" t="s">
        <v>1327</v>
      </c>
      <c r="M320" t="str" cm="1">
        <f t="array" ref="M320:M322">G320:G322</f>
        <v>t</v>
      </c>
      <c r="U320" cm="1">
        <f t="array" ref="U320:U322">H320:H322</f>
        <v>62.496864000000002</v>
      </c>
      <c r="AC320" cm="1">
        <f t="array" ref="AC320:AC322">I320:I322</f>
        <v>319</v>
      </c>
    </row>
    <row r="321" spans="1:34" x14ac:dyDescent="0.25">
      <c r="A321" t="s">
        <v>660</v>
      </c>
      <c r="B321" s="5" t="s">
        <v>1319</v>
      </c>
      <c r="C321" s="5" t="s">
        <v>1347</v>
      </c>
      <c r="D321" t="s">
        <v>653</v>
      </c>
      <c r="E321">
        <v>101</v>
      </c>
      <c r="F321" t="s">
        <v>661</v>
      </c>
      <c r="G321" s="2" t="s">
        <v>222</v>
      </c>
      <c r="H321">
        <v>48.716630000000002</v>
      </c>
      <c r="I321">
        <v>225</v>
      </c>
      <c r="J321" t="s">
        <v>1284</v>
      </c>
      <c r="K321" t="s">
        <v>1327</v>
      </c>
      <c r="M321" t="str">
        <v>t</v>
      </c>
      <c r="U321">
        <v>48.716630000000002</v>
      </c>
      <c r="AC321">
        <v>225</v>
      </c>
    </row>
    <row r="322" spans="1:34" x14ac:dyDescent="0.25">
      <c r="A322" t="s">
        <v>662</v>
      </c>
      <c r="B322" s="5" t="s">
        <v>1319</v>
      </c>
      <c r="C322" s="5" t="s">
        <v>1347</v>
      </c>
      <c r="D322" t="s">
        <v>653</v>
      </c>
      <c r="E322">
        <v>101</v>
      </c>
      <c r="F322" t="s">
        <v>663</v>
      </c>
      <c r="G322" s="2" t="s">
        <v>222</v>
      </c>
      <c r="H322">
        <v>43.120775000000002</v>
      </c>
      <c r="I322">
        <v>219</v>
      </c>
      <c r="J322" t="s">
        <v>1284</v>
      </c>
      <c r="K322" t="s">
        <v>1327</v>
      </c>
      <c r="M322" t="str">
        <v>t</v>
      </c>
      <c r="U322">
        <v>43.120775000000002</v>
      </c>
      <c r="AC322">
        <v>219</v>
      </c>
    </row>
    <row r="323" spans="1:34" x14ac:dyDescent="0.25">
      <c r="A323" t="s">
        <v>664</v>
      </c>
      <c r="B323" s="5" t="s">
        <v>1319</v>
      </c>
      <c r="C323" s="5" t="s">
        <v>1347</v>
      </c>
      <c r="D323" t="s">
        <v>653</v>
      </c>
      <c r="E323">
        <v>156</v>
      </c>
      <c r="F323" t="s">
        <v>665</v>
      </c>
      <c r="G323" s="2" t="s">
        <v>222</v>
      </c>
      <c r="H323">
        <v>38.879826000000001</v>
      </c>
      <c r="I323">
        <v>207</v>
      </c>
      <c r="J323" t="s">
        <v>1284</v>
      </c>
      <c r="K323" t="s">
        <v>1327</v>
      </c>
      <c r="N323" t="str" cm="1">
        <f t="array" ref="N323:N325">G323:G325</f>
        <v>t</v>
      </c>
      <c r="V323" cm="1">
        <f t="array" ref="V323:V325">H323:H325</f>
        <v>38.879826000000001</v>
      </c>
      <c r="AD323" cm="1">
        <f t="array" ref="AD323:AD325">I323:I325</f>
        <v>207</v>
      </c>
    </row>
    <row r="324" spans="1:34" x14ac:dyDescent="0.25">
      <c r="A324" t="s">
        <v>666</v>
      </c>
      <c r="B324" s="5" t="s">
        <v>1319</v>
      </c>
      <c r="C324" s="5" t="s">
        <v>1347</v>
      </c>
      <c r="D324" t="s">
        <v>653</v>
      </c>
      <c r="E324">
        <v>156</v>
      </c>
      <c r="F324" t="s">
        <v>667</v>
      </c>
      <c r="G324" s="2" t="s">
        <v>222</v>
      </c>
      <c r="H324">
        <v>44.531278</v>
      </c>
      <c r="I324">
        <v>228</v>
      </c>
      <c r="J324" t="s">
        <v>1284</v>
      </c>
      <c r="K324" t="s">
        <v>1327</v>
      </c>
      <c r="N324" t="str">
        <v>t</v>
      </c>
      <c r="V324">
        <v>44.531278</v>
      </c>
      <c r="AD324">
        <v>228</v>
      </c>
    </row>
    <row r="325" spans="1:34" x14ac:dyDescent="0.25">
      <c r="A325" t="s">
        <v>668</v>
      </c>
      <c r="B325" s="5" t="s">
        <v>1319</v>
      </c>
      <c r="C325" s="5" t="s">
        <v>1347</v>
      </c>
      <c r="D325" t="s">
        <v>653</v>
      </c>
      <c r="E325">
        <v>156</v>
      </c>
      <c r="F325" t="s">
        <v>669</v>
      </c>
      <c r="G325" s="2" t="s">
        <v>222</v>
      </c>
      <c r="H325">
        <v>57.941521000000002</v>
      </c>
      <c r="I325">
        <v>290</v>
      </c>
      <c r="J325" t="s">
        <v>1284</v>
      </c>
      <c r="K325" t="s">
        <v>1327</v>
      </c>
      <c r="N325" t="str">
        <v>t</v>
      </c>
      <c r="V325">
        <v>57.941521000000002</v>
      </c>
      <c r="AD325">
        <v>290</v>
      </c>
    </row>
    <row r="326" spans="1:34" x14ac:dyDescent="0.25">
      <c r="A326" t="s">
        <v>670</v>
      </c>
      <c r="B326" s="5" t="s">
        <v>1319</v>
      </c>
      <c r="C326" s="5" t="s">
        <v>1347</v>
      </c>
      <c r="D326" t="s">
        <v>653</v>
      </c>
      <c r="E326">
        <v>129</v>
      </c>
      <c r="F326" t="s">
        <v>671</v>
      </c>
      <c r="G326" s="2" t="s">
        <v>222</v>
      </c>
      <c r="H326">
        <v>4.5399269999999996</v>
      </c>
      <c r="I326">
        <v>22</v>
      </c>
      <c r="J326" t="s">
        <v>1284</v>
      </c>
      <c r="K326" t="s">
        <v>1327</v>
      </c>
      <c r="O326" t="str" cm="1">
        <f t="array" ref="O326:O328">G326:G328</f>
        <v>t</v>
      </c>
      <c r="W326" cm="1">
        <f t="array" ref="W326:W328">H326:H328</f>
        <v>4.5399269999999996</v>
      </c>
      <c r="AE326" cm="1">
        <f t="array" ref="AE326:AE328">I326:I328</f>
        <v>22</v>
      </c>
    </row>
    <row r="327" spans="1:34" x14ac:dyDescent="0.25">
      <c r="A327" t="s">
        <v>672</v>
      </c>
      <c r="B327" s="5" t="s">
        <v>1319</v>
      </c>
      <c r="C327" s="5" t="s">
        <v>1347</v>
      </c>
      <c r="D327" t="s">
        <v>653</v>
      </c>
      <c r="E327">
        <v>129</v>
      </c>
      <c r="F327" t="s">
        <v>673</v>
      </c>
      <c r="G327" s="2" t="s">
        <v>222</v>
      </c>
      <c r="H327">
        <v>9.1293690000000005</v>
      </c>
      <c r="I327">
        <v>48</v>
      </c>
      <c r="J327" t="s">
        <v>1284</v>
      </c>
      <c r="K327" t="s">
        <v>1327</v>
      </c>
      <c r="O327" t="str">
        <v>t</v>
      </c>
      <c r="W327">
        <v>9.1293690000000005</v>
      </c>
      <c r="AE327">
        <v>48</v>
      </c>
    </row>
    <row r="328" spans="1:34" x14ac:dyDescent="0.25">
      <c r="A328" t="s">
        <v>674</v>
      </c>
      <c r="B328" s="5" t="s">
        <v>1319</v>
      </c>
      <c r="C328" s="5" t="s">
        <v>1347</v>
      </c>
      <c r="D328" t="s">
        <v>653</v>
      </c>
      <c r="E328">
        <v>129</v>
      </c>
      <c r="F328" t="s">
        <v>675</v>
      </c>
      <c r="G328" s="2" t="s">
        <v>222</v>
      </c>
      <c r="H328">
        <v>14.68853</v>
      </c>
      <c r="I328">
        <v>75</v>
      </c>
      <c r="J328" t="s">
        <v>1284</v>
      </c>
      <c r="K328" t="s">
        <v>1327</v>
      </c>
      <c r="O328" t="str">
        <v>t</v>
      </c>
      <c r="W328">
        <v>14.68853</v>
      </c>
      <c r="AE328">
        <v>75</v>
      </c>
    </row>
    <row r="329" spans="1:34" x14ac:dyDescent="0.25">
      <c r="A329" s="1" t="s">
        <v>676</v>
      </c>
      <c r="B329" s="5" t="s">
        <v>1319</v>
      </c>
      <c r="C329" s="5" t="s">
        <v>1347</v>
      </c>
      <c r="D329" t="s">
        <v>653</v>
      </c>
      <c r="E329">
        <v>127</v>
      </c>
      <c r="F329" t="s">
        <v>677</v>
      </c>
      <c r="G329" s="2" t="s">
        <v>222</v>
      </c>
      <c r="H329">
        <v>61.985576000000002</v>
      </c>
      <c r="I329">
        <v>325</v>
      </c>
      <c r="J329" t="s">
        <v>1284</v>
      </c>
      <c r="K329" t="s">
        <v>1327</v>
      </c>
      <c r="P329" t="str" cm="1">
        <f t="array" ref="P329:P331">G329:G331</f>
        <v>t</v>
      </c>
      <c r="X329" cm="1">
        <f t="array" ref="X329:X331">H329:H331</f>
        <v>61.985576000000002</v>
      </c>
      <c r="AF329" cm="1">
        <f t="array" ref="AF329:AF331">I329:I331</f>
        <v>325</v>
      </c>
    </row>
    <row r="330" spans="1:34" x14ac:dyDescent="0.25">
      <c r="A330" s="1" t="s">
        <v>678</v>
      </c>
      <c r="B330" s="5" t="s">
        <v>1319</v>
      </c>
      <c r="C330" s="5" t="s">
        <v>1347</v>
      </c>
      <c r="D330" t="s">
        <v>653</v>
      </c>
      <c r="E330">
        <v>127</v>
      </c>
      <c r="F330" t="s">
        <v>679</v>
      </c>
      <c r="G330" s="2" t="s">
        <v>222</v>
      </c>
      <c r="H330">
        <v>30.588842</v>
      </c>
      <c r="I330">
        <v>155</v>
      </c>
      <c r="J330" t="s">
        <v>1284</v>
      </c>
      <c r="K330" t="s">
        <v>1327</v>
      </c>
      <c r="P330" t="str">
        <v>t</v>
      </c>
      <c r="X330">
        <v>30.588842</v>
      </c>
      <c r="AF330">
        <v>155</v>
      </c>
    </row>
    <row r="331" spans="1:34" x14ac:dyDescent="0.25">
      <c r="A331" s="1" t="s">
        <v>680</v>
      </c>
      <c r="B331" s="5" t="s">
        <v>1319</v>
      </c>
      <c r="C331" s="5" t="s">
        <v>1347</v>
      </c>
      <c r="D331" t="s">
        <v>653</v>
      </c>
      <c r="E331">
        <v>127</v>
      </c>
      <c r="F331" t="s">
        <v>681</v>
      </c>
      <c r="G331" s="2" t="s">
        <v>222</v>
      </c>
      <c r="H331">
        <v>36.041170999999999</v>
      </c>
      <c r="I331">
        <v>181</v>
      </c>
      <c r="J331" t="s">
        <v>1284</v>
      </c>
      <c r="K331" t="s">
        <v>1327</v>
      </c>
      <c r="P331" t="str">
        <v>t</v>
      </c>
      <c r="X331">
        <v>36.041170999999999</v>
      </c>
      <c r="AF331">
        <v>181</v>
      </c>
    </row>
    <row r="332" spans="1:34" x14ac:dyDescent="0.25">
      <c r="A332" t="s">
        <v>682</v>
      </c>
      <c r="B332" s="5" t="s">
        <v>1319</v>
      </c>
      <c r="C332" s="5" t="s">
        <v>1347</v>
      </c>
      <c r="D332" t="s">
        <v>653</v>
      </c>
      <c r="E332">
        <v>128</v>
      </c>
      <c r="F332" t="s">
        <v>683</v>
      </c>
      <c r="G332" s="2" t="s">
        <v>222</v>
      </c>
      <c r="H332">
        <v>38.320065</v>
      </c>
      <c r="I332">
        <v>200</v>
      </c>
      <c r="J332" t="s">
        <v>1284</v>
      </c>
      <c r="K332" t="s">
        <v>1327</v>
      </c>
      <c r="Q332" t="str" cm="1">
        <f t="array" ref="Q332:Q334">G332:G334</f>
        <v>t</v>
      </c>
      <c r="Y332" cm="1">
        <f t="array" ref="Y332:Y334">H332:H334</f>
        <v>38.320065</v>
      </c>
      <c r="AG332" cm="1">
        <f t="array" ref="AG332:AG334">I332:I334</f>
        <v>200</v>
      </c>
    </row>
    <row r="333" spans="1:34" x14ac:dyDescent="0.25">
      <c r="A333" t="s">
        <v>684</v>
      </c>
      <c r="B333" s="5" t="s">
        <v>1319</v>
      </c>
      <c r="C333" s="5" t="s">
        <v>1347</v>
      </c>
      <c r="D333" t="s">
        <v>653</v>
      </c>
      <c r="E333">
        <v>128</v>
      </c>
      <c r="F333" t="s">
        <v>685</v>
      </c>
      <c r="G333" s="2" t="s">
        <v>223</v>
      </c>
      <c r="H333">
        <v>16.496157</v>
      </c>
      <c r="I333">
        <v>85</v>
      </c>
      <c r="J333" t="s">
        <v>1284</v>
      </c>
      <c r="K333" t="s">
        <v>1327</v>
      </c>
      <c r="Q333" t="str">
        <v>f</v>
      </c>
      <c r="Y333">
        <v>16.496157</v>
      </c>
      <c r="AG333">
        <v>85</v>
      </c>
    </row>
    <row r="334" spans="1:34" x14ac:dyDescent="0.25">
      <c r="A334" t="s">
        <v>686</v>
      </c>
      <c r="B334" s="5" t="s">
        <v>1319</v>
      </c>
      <c r="C334" s="5" t="s">
        <v>1347</v>
      </c>
      <c r="D334" t="s">
        <v>653</v>
      </c>
      <c r="E334">
        <v>128</v>
      </c>
      <c r="F334" t="s">
        <v>687</v>
      </c>
      <c r="G334" s="2" t="s">
        <v>223</v>
      </c>
      <c r="H334">
        <v>18.326539</v>
      </c>
      <c r="I334">
        <v>90</v>
      </c>
      <c r="J334" t="s">
        <v>1284</v>
      </c>
      <c r="K334" t="s">
        <v>1327</v>
      </c>
      <c r="Q334" t="str">
        <v>f</v>
      </c>
      <c r="Y334">
        <v>18.326539</v>
      </c>
      <c r="AG334">
        <v>90</v>
      </c>
    </row>
    <row r="335" spans="1:34" x14ac:dyDescent="0.25">
      <c r="A335" t="s">
        <v>688</v>
      </c>
      <c r="B335" s="5" t="s">
        <v>1319</v>
      </c>
      <c r="C335" s="5" t="s">
        <v>1347</v>
      </c>
      <c r="D335" t="s">
        <v>653</v>
      </c>
      <c r="E335">
        <v>132</v>
      </c>
      <c r="F335" t="s">
        <v>689</v>
      </c>
      <c r="G335" s="2" t="s">
        <v>222</v>
      </c>
      <c r="H335">
        <v>41.033307999999998</v>
      </c>
      <c r="I335">
        <v>201</v>
      </c>
      <c r="J335" t="s">
        <v>1284</v>
      </c>
      <c r="K335" t="s">
        <v>1327</v>
      </c>
      <c r="R335" t="str" cm="1">
        <f t="array" ref="R335:R337">G335:G337</f>
        <v>t</v>
      </c>
      <c r="Z335" cm="1">
        <f t="array" ref="Z335:Z337">H335:H337</f>
        <v>41.033307999999998</v>
      </c>
      <c r="AH335" cm="1">
        <f t="array" ref="AH335:AH337">I335:I337</f>
        <v>201</v>
      </c>
    </row>
    <row r="336" spans="1:34" x14ac:dyDescent="0.25">
      <c r="A336" t="s">
        <v>690</v>
      </c>
      <c r="B336" s="5" t="s">
        <v>1319</v>
      </c>
      <c r="C336" s="5" t="s">
        <v>1347</v>
      </c>
      <c r="D336" t="s">
        <v>653</v>
      </c>
      <c r="E336">
        <v>132</v>
      </c>
      <c r="F336" t="s">
        <v>691</v>
      </c>
      <c r="G336" s="2" t="s">
        <v>222</v>
      </c>
      <c r="H336">
        <v>74.104303999999999</v>
      </c>
      <c r="I336">
        <v>365</v>
      </c>
      <c r="J336" t="s">
        <v>1284</v>
      </c>
      <c r="K336" t="s">
        <v>1327</v>
      </c>
      <c r="R336" t="str">
        <v>t</v>
      </c>
      <c r="Z336">
        <v>74.104303999999999</v>
      </c>
      <c r="AH336">
        <v>365</v>
      </c>
    </row>
    <row r="337" spans="1:34" s="3" customFormat="1" x14ac:dyDescent="0.25">
      <c r="A337" s="3" t="s">
        <v>692</v>
      </c>
      <c r="B337" s="5" t="s">
        <v>1319</v>
      </c>
      <c r="C337" s="5" t="s">
        <v>1347</v>
      </c>
      <c r="D337" s="3" t="s">
        <v>653</v>
      </c>
      <c r="E337" s="3">
        <v>132</v>
      </c>
      <c r="F337" s="3" t="s">
        <v>693</v>
      </c>
      <c r="G337" s="4" t="s">
        <v>223</v>
      </c>
      <c r="H337" s="3">
        <v>41.448144999999997</v>
      </c>
      <c r="I337" s="3">
        <v>213</v>
      </c>
      <c r="J337" s="3" t="s">
        <v>1284</v>
      </c>
      <c r="K337" s="3" t="s">
        <v>1327</v>
      </c>
      <c r="R337" s="3" t="str">
        <v>f</v>
      </c>
      <c r="Z337" s="3">
        <v>41.448144999999997</v>
      </c>
      <c r="AH337" s="3">
        <v>213</v>
      </c>
    </row>
    <row r="338" spans="1:34" s="5" customFormat="1" x14ac:dyDescent="0.25">
      <c r="A338" s="5" t="s">
        <v>694</v>
      </c>
      <c r="B338" t="s">
        <v>1349</v>
      </c>
      <c r="C338" t="s">
        <v>1347</v>
      </c>
      <c r="D338" t="s">
        <v>1298</v>
      </c>
      <c r="E338" s="5">
        <v>91</v>
      </c>
      <c r="F338" s="5" t="s">
        <v>1299</v>
      </c>
      <c r="G338" s="6" t="s">
        <v>223</v>
      </c>
      <c r="H338" s="5">
        <v>4.4945589999999997</v>
      </c>
      <c r="I338" s="5">
        <v>23</v>
      </c>
      <c r="J338" s="5" t="s">
        <v>1284</v>
      </c>
      <c r="K338" s="5" t="s">
        <v>1327</v>
      </c>
      <c r="L338" s="5" t="str" cm="1">
        <f t="array" ref="L338:L340">G338:G340</f>
        <v>f</v>
      </c>
      <c r="T338" s="5" cm="1">
        <f t="array" ref="T338:T340">H338:H340</f>
        <v>4.4945589999999997</v>
      </c>
      <c r="AB338" s="5" cm="1">
        <f t="array" ref="AB338:AB340">I338:I340</f>
        <v>23</v>
      </c>
    </row>
    <row r="339" spans="1:34" x14ac:dyDescent="0.25">
      <c r="A339" t="s">
        <v>695</v>
      </c>
      <c r="B339" t="s">
        <v>1349</v>
      </c>
      <c r="C339" t="s">
        <v>1347</v>
      </c>
      <c r="D339" t="s">
        <v>1298</v>
      </c>
      <c r="E339">
        <v>91</v>
      </c>
      <c r="F339" t="s">
        <v>1299</v>
      </c>
      <c r="G339" s="2" t="s">
        <v>223</v>
      </c>
      <c r="H339">
        <v>4.1666720000000002</v>
      </c>
      <c r="I339">
        <v>23</v>
      </c>
      <c r="J339" t="s">
        <v>1284</v>
      </c>
      <c r="K339" t="s">
        <v>1327</v>
      </c>
      <c r="L339" t="str">
        <v>f</v>
      </c>
      <c r="T339">
        <v>4.1666720000000002</v>
      </c>
      <c r="AB339">
        <v>23</v>
      </c>
    </row>
    <row r="340" spans="1:34" x14ac:dyDescent="0.25">
      <c r="A340" t="s">
        <v>696</v>
      </c>
      <c r="B340" t="s">
        <v>1349</v>
      </c>
      <c r="C340" t="s">
        <v>1347</v>
      </c>
      <c r="D340" t="s">
        <v>1298</v>
      </c>
      <c r="E340">
        <v>91</v>
      </c>
      <c r="F340" t="s">
        <v>1299</v>
      </c>
      <c r="G340" s="2" t="s">
        <v>223</v>
      </c>
      <c r="H340">
        <v>4.6320629999999996</v>
      </c>
      <c r="I340">
        <v>23</v>
      </c>
      <c r="J340" t="s">
        <v>1284</v>
      </c>
      <c r="K340" t="s">
        <v>1327</v>
      </c>
      <c r="L340" t="str">
        <v>f</v>
      </c>
      <c r="T340">
        <v>4.6320629999999996</v>
      </c>
      <c r="AB340">
        <v>23</v>
      </c>
    </row>
    <row r="341" spans="1:34" x14ac:dyDescent="0.25">
      <c r="A341" t="s">
        <v>697</v>
      </c>
      <c r="B341" t="s">
        <v>1349</v>
      </c>
      <c r="C341" t="s">
        <v>1347</v>
      </c>
      <c r="D341" t="s">
        <v>1298</v>
      </c>
      <c r="E341">
        <v>101</v>
      </c>
      <c r="F341" t="s">
        <v>1300</v>
      </c>
      <c r="G341" s="2" t="s">
        <v>222</v>
      </c>
      <c r="H341">
        <v>54.180655000000002</v>
      </c>
      <c r="I341">
        <v>259</v>
      </c>
      <c r="J341" t="s">
        <v>1284</v>
      </c>
      <c r="K341" t="s">
        <v>1327</v>
      </c>
      <c r="M341" t="str" cm="1">
        <f t="array" ref="M341:M343">G341:G343</f>
        <v>t</v>
      </c>
      <c r="U341" cm="1">
        <f t="array" ref="U341:U343">H341:H343</f>
        <v>54.180655000000002</v>
      </c>
      <c r="AC341" cm="1">
        <f t="array" ref="AC341:AC343">I341:I343</f>
        <v>259</v>
      </c>
    </row>
    <row r="342" spans="1:34" x14ac:dyDescent="0.25">
      <c r="A342" t="s">
        <v>698</v>
      </c>
      <c r="B342" t="s">
        <v>1349</v>
      </c>
      <c r="C342" t="s">
        <v>1347</v>
      </c>
      <c r="D342" t="s">
        <v>1298</v>
      </c>
      <c r="E342">
        <v>101</v>
      </c>
      <c r="F342" t="s">
        <v>1301</v>
      </c>
      <c r="G342" s="2" t="s">
        <v>222</v>
      </c>
      <c r="H342">
        <v>77.537604000000002</v>
      </c>
      <c r="I342">
        <v>371</v>
      </c>
      <c r="J342" t="s">
        <v>1284</v>
      </c>
      <c r="K342" t="s">
        <v>1327</v>
      </c>
      <c r="M342" t="str">
        <v>t</v>
      </c>
      <c r="U342">
        <v>77.537604000000002</v>
      </c>
      <c r="AC342">
        <v>371</v>
      </c>
    </row>
    <row r="343" spans="1:34" x14ac:dyDescent="0.25">
      <c r="A343" t="s">
        <v>699</v>
      </c>
      <c r="B343" t="s">
        <v>1349</v>
      </c>
      <c r="C343" t="s">
        <v>1347</v>
      </c>
      <c r="D343" t="s">
        <v>1298</v>
      </c>
      <c r="E343">
        <v>101</v>
      </c>
      <c r="F343" t="s">
        <v>1302</v>
      </c>
      <c r="G343" s="2" t="s">
        <v>223</v>
      </c>
      <c r="H343">
        <v>49.535732000000003</v>
      </c>
      <c r="I343">
        <v>240</v>
      </c>
      <c r="J343" t="s">
        <v>1284</v>
      </c>
      <c r="K343" t="s">
        <v>1327</v>
      </c>
      <c r="M343" t="str">
        <v>f</v>
      </c>
      <c r="U343">
        <v>49.535732000000003</v>
      </c>
      <c r="AC343">
        <v>240</v>
      </c>
    </row>
    <row r="344" spans="1:34" x14ac:dyDescent="0.25">
      <c r="A344" t="s">
        <v>700</v>
      </c>
      <c r="B344" t="s">
        <v>1349</v>
      </c>
      <c r="C344" t="s">
        <v>1347</v>
      </c>
      <c r="D344" t="s">
        <v>1298</v>
      </c>
      <c r="E344">
        <v>156</v>
      </c>
      <c r="F344" t="s">
        <v>1303</v>
      </c>
      <c r="G344" s="2" t="s">
        <v>223</v>
      </c>
      <c r="H344">
        <v>40.492182999999997</v>
      </c>
      <c r="I344">
        <v>196</v>
      </c>
      <c r="J344" t="s">
        <v>1284</v>
      </c>
      <c r="K344" t="s">
        <v>1327</v>
      </c>
      <c r="N344" t="str" cm="1">
        <f t="array" ref="N344:N346">G344:G346</f>
        <v>f</v>
      </c>
      <c r="V344" cm="1">
        <f t="array" ref="V344:V346">H344:H346</f>
        <v>40.492182999999997</v>
      </c>
      <c r="AD344" cm="1">
        <f t="array" ref="AD344:AD346">I344:I346</f>
        <v>196</v>
      </c>
    </row>
    <row r="345" spans="1:34" x14ac:dyDescent="0.25">
      <c r="A345" t="s">
        <v>701</v>
      </c>
      <c r="B345" t="s">
        <v>1349</v>
      </c>
      <c r="C345" t="s">
        <v>1347</v>
      </c>
      <c r="D345" t="s">
        <v>1298</v>
      </c>
      <c r="E345">
        <v>156</v>
      </c>
      <c r="F345" t="s">
        <v>1304</v>
      </c>
      <c r="G345" s="2" t="s">
        <v>222</v>
      </c>
      <c r="H345">
        <v>68.343520999999996</v>
      </c>
      <c r="I345">
        <v>322</v>
      </c>
      <c r="J345" t="s">
        <v>1284</v>
      </c>
      <c r="K345" t="s">
        <v>1327</v>
      </c>
      <c r="N345" t="str">
        <v>t</v>
      </c>
      <c r="V345">
        <v>68.343520999999996</v>
      </c>
      <c r="AD345">
        <v>322</v>
      </c>
    </row>
    <row r="346" spans="1:34" x14ac:dyDescent="0.25">
      <c r="A346" t="s">
        <v>702</v>
      </c>
      <c r="B346" t="s">
        <v>1349</v>
      </c>
      <c r="C346" t="s">
        <v>1347</v>
      </c>
      <c r="D346" t="s">
        <v>1298</v>
      </c>
      <c r="E346">
        <v>156</v>
      </c>
      <c r="F346" t="s">
        <v>1305</v>
      </c>
      <c r="G346" s="2" t="s">
        <v>223</v>
      </c>
      <c r="H346">
        <v>43.295771999999999</v>
      </c>
      <c r="I346">
        <v>206</v>
      </c>
      <c r="J346" t="s">
        <v>1284</v>
      </c>
      <c r="K346" t="s">
        <v>1327</v>
      </c>
      <c r="N346" t="str">
        <v>f</v>
      </c>
      <c r="V346">
        <v>43.295771999999999</v>
      </c>
      <c r="AD346">
        <v>206</v>
      </c>
    </row>
    <row r="347" spans="1:34" x14ac:dyDescent="0.25">
      <c r="A347" t="s">
        <v>703</v>
      </c>
      <c r="B347" t="s">
        <v>1349</v>
      </c>
      <c r="C347" t="s">
        <v>1347</v>
      </c>
      <c r="D347" t="s">
        <v>1298</v>
      </c>
      <c r="E347">
        <v>129</v>
      </c>
      <c r="F347" t="s">
        <v>1306</v>
      </c>
      <c r="G347" s="2" t="s">
        <v>223</v>
      </c>
      <c r="H347">
        <v>39.156261999999998</v>
      </c>
      <c r="I347">
        <v>187</v>
      </c>
      <c r="J347" t="s">
        <v>1284</v>
      </c>
      <c r="K347" t="s">
        <v>1327</v>
      </c>
      <c r="O347" t="str" cm="1">
        <f t="array" ref="O347:O349">G347:G349</f>
        <v>f</v>
      </c>
      <c r="W347" cm="1">
        <f t="array" ref="W347:W349">H347:H349</f>
        <v>39.156261999999998</v>
      </c>
      <c r="AE347" cm="1">
        <f t="array" ref="AE347:AE349">I347:I349</f>
        <v>187</v>
      </c>
    </row>
    <row r="348" spans="1:34" x14ac:dyDescent="0.25">
      <c r="A348" t="s">
        <v>704</v>
      </c>
      <c r="B348" t="s">
        <v>1349</v>
      </c>
      <c r="C348" t="s">
        <v>1347</v>
      </c>
      <c r="D348" t="s">
        <v>1298</v>
      </c>
      <c r="E348">
        <v>129</v>
      </c>
      <c r="F348" t="s">
        <v>1307</v>
      </c>
      <c r="G348" s="2" t="s">
        <v>223</v>
      </c>
      <c r="H348">
        <v>18.774301999999999</v>
      </c>
      <c r="I348">
        <v>88</v>
      </c>
      <c r="J348" t="s">
        <v>1284</v>
      </c>
      <c r="K348" t="s">
        <v>1327</v>
      </c>
      <c r="O348" t="str">
        <v>f</v>
      </c>
      <c r="W348">
        <v>18.774301999999999</v>
      </c>
      <c r="AE348">
        <v>88</v>
      </c>
    </row>
    <row r="349" spans="1:34" x14ac:dyDescent="0.25">
      <c r="A349" t="s">
        <v>705</v>
      </c>
      <c r="B349" t="s">
        <v>1349</v>
      </c>
      <c r="C349" t="s">
        <v>1347</v>
      </c>
      <c r="D349" t="s">
        <v>1298</v>
      </c>
      <c r="E349">
        <v>129</v>
      </c>
      <c r="F349" t="s">
        <v>1308</v>
      </c>
      <c r="G349" s="2" t="s">
        <v>223</v>
      </c>
      <c r="H349">
        <v>39.679830000000003</v>
      </c>
      <c r="I349">
        <v>187</v>
      </c>
      <c r="J349" t="s">
        <v>1284</v>
      </c>
      <c r="K349" t="s">
        <v>1327</v>
      </c>
      <c r="O349" t="str">
        <v>f</v>
      </c>
      <c r="W349">
        <v>39.679830000000003</v>
      </c>
      <c r="AE349">
        <v>187</v>
      </c>
    </row>
    <row r="350" spans="1:34" x14ac:dyDescent="0.25">
      <c r="A350" s="1" t="s">
        <v>706</v>
      </c>
      <c r="B350" t="s">
        <v>1349</v>
      </c>
      <c r="C350" t="s">
        <v>1347</v>
      </c>
      <c r="D350" t="s">
        <v>1298</v>
      </c>
      <c r="E350">
        <v>127</v>
      </c>
      <c r="F350" t="s">
        <v>1309</v>
      </c>
      <c r="G350" s="2" t="s">
        <v>223</v>
      </c>
      <c r="H350">
        <v>25.090881</v>
      </c>
      <c r="I350">
        <v>119</v>
      </c>
      <c r="J350" t="s">
        <v>1284</v>
      </c>
      <c r="K350" t="s">
        <v>1327</v>
      </c>
      <c r="P350" t="str" cm="1">
        <f t="array" ref="P350:P352">G350:G352</f>
        <v>f</v>
      </c>
      <c r="X350" cm="1">
        <f t="array" ref="X350:X352">H350:H352</f>
        <v>25.090881</v>
      </c>
      <c r="AF350" cm="1">
        <f t="array" ref="AF350:AF352">I350:I352</f>
        <v>119</v>
      </c>
    </row>
    <row r="351" spans="1:34" x14ac:dyDescent="0.25">
      <c r="A351" s="1" t="s">
        <v>707</v>
      </c>
      <c r="B351" t="s">
        <v>1349</v>
      </c>
      <c r="C351" t="s">
        <v>1347</v>
      </c>
      <c r="D351" t="s">
        <v>1298</v>
      </c>
      <c r="E351">
        <v>127</v>
      </c>
      <c r="F351" t="s">
        <v>1310</v>
      </c>
      <c r="G351" s="2" t="s">
        <v>223</v>
      </c>
      <c r="H351">
        <v>77.815939</v>
      </c>
      <c r="I351">
        <v>362</v>
      </c>
      <c r="J351" t="s">
        <v>1284</v>
      </c>
      <c r="K351" t="s">
        <v>1327</v>
      </c>
      <c r="P351" t="str">
        <v>f</v>
      </c>
      <c r="X351">
        <v>77.815939</v>
      </c>
      <c r="AF351">
        <v>362</v>
      </c>
    </row>
    <row r="352" spans="1:34" x14ac:dyDescent="0.25">
      <c r="A352" s="1" t="s">
        <v>708</v>
      </c>
      <c r="B352" t="s">
        <v>1349</v>
      </c>
      <c r="C352" t="s">
        <v>1347</v>
      </c>
      <c r="D352" t="s">
        <v>1298</v>
      </c>
      <c r="E352">
        <v>127</v>
      </c>
      <c r="F352" t="s">
        <v>1311</v>
      </c>
      <c r="G352" s="2" t="s">
        <v>223</v>
      </c>
      <c r="H352">
        <v>55.793996</v>
      </c>
      <c r="I352">
        <v>260</v>
      </c>
      <c r="J352" t="s">
        <v>1284</v>
      </c>
      <c r="K352" t="s">
        <v>1327</v>
      </c>
      <c r="P352" t="str">
        <v>f</v>
      </c>
      <c r="X352">
        <v>55.793996</v>
      </c>
      <c r="AF352">
        <v>260</v>
      </c>
    </row>
    <row r="353" spans="1:34" x14ac:dyDescent="0.25">
      <c r="A353" t="s">
        <v>709</v>
      </c>
      <c r="B353" t="s">
        <v>1349</v>
      </c>
      <c r="C353" t="s">
        <v>1347</v>
      </c>
      <c r="D353" t="s">
        <v>1298</v>
      </c>
      <c r="E353">
        <v>128</v>
      </c>
      <c r="F353" t="s">
        <v>1312</v>
      </c>
      <c r="G353" s="2" t="s">
        <v>223</v>
      </c>
      <c r="H353">
        <v>11.396672000000001</v>
      </c>
      <c r="I353">
        <v>51</v>
      </c>
      <c r="J353" t="s">
        <v>1284</v>
      </c>
      <c r="K353" t="s">
        <v>1327</v>
      </c>
      <c r="Q353" t="str" cm="1">
        <f t="array" ref="Q353:Q355">G353:G355</f>
        <v>f</v>
      </c>
      <c r="Y353" cm="1">
        <f t="array" ref="Y353:Y355">H353:H355</f>
        <v>11.396672000000001</v>
      </c>
      <c r="AG353" cm="1">
        <f t="array" ref="AG353:AG355">I353:I355</f>
        <v>51</v>
      </c>
    </row>
    <row r="354" spans="1:34" x14ac:dyDescent="0.25">
      <c r="A354" t="s">
        <v>710</v>
      </c>
      <c r="B354" t="s">
        <v>1349</v>
      </c>
      <c r="C354" t="s">
        <v>1347</v>
      </c>
      <c r="D354" t="s">
        <v>1298</v>
      </c>
      <c r="E354">
        <v>128</v>
      </c>
      <c r="F354" t="s">
        <v>1313</v>
      </c>
      <c r="G354" s="2" t="s">
        <v>223</v>
      </c>
      <c r="H354">
        <v>68.417805000000001</v>
      </c>
      <c r="I354">
        <v>316</v>
      </c>
      <c r="J354" t="s">
        <v>1284</v>
      </c>
      <c r="K354" t="s">
        <v>1327</v>
      </c>
      <c r="Q354" t="str">
        <v>f</v>
      </c>
      <c r="Y354">
        <v>68.417805000000001</v>
      </c>
      <c r="AG354">
        <v>316</v>
      </c>
    </row>
    <row r="355" spans="1:34" x14ac:dyDescent="0.25">
      <c r="A355" t="s">
        <v>711</v>
      </c>
      <c r="B355" t="s">
        <v>1349</v>
      </c>
      <c r="C355" t="s">
        <v>1347</v>
      </c>
      <c r="D355" t="s">
        <v>1298</v>
      </c>
      <c r="E355">
        <v>128</v>
      </c>
      <c r="F355" t="s">
        <v>1314</v>
      </c>
      <c r="G355" s="2" t="s">
        <v>222</v>
      </c>
      <c r="H355">
        <v>54.012115999999999</v>
      </c>
      <c r="I355">
        <v>245</v>
      </c>
      <c r="J355" t="s">
        <v>1284</v>
      </c>
      <c r="K355" t="s">
        <v>1327</v>
      </c>
      <c r="Q355" t="str">
        <v>t</v>
      </c>
      <c r="Y355">
        <v>54.012115999999999</v>
      </c>
      <c r="AG355">
        <v>245</v>
      </c>
    </row>
    <row r="356" spans="1:34" x14ac:dyDescent="0.25">
      <c r="A356" t="s">
        <v>712</v>
      </c>
      <c r="B356" t="s">
        <v>1349</v>
      </c>
      <c r="C356" t="s">
        <v>1347</v>
      </c>
      <c r="D356" t="s">
        <v>1298</v>
      </c>
      <c r="E356">
        <v>132</v>
      </c>
      <c r="F356" t="s">
        <v>1315</v>
      </c>
      <c r="G356" s="2" t="s">
        <v>222</v>
      </c>
      <c r="H356">
        <v>25.077940000000002</v>
      </c>
      <c r="I356">
        <v>121</v>
      </c>
      <c r="J356" t="s">
        <v>1284</v>
      </c>
      <c r="K356" t="s">
        <v>1327</v>
      </c>
      <c r="R356" t="str" cm="1">
        <f t="array" ref="R356:R358">G356:G358</f>
        <v>t</v>
      </c>
      <c r="Z356" cm="1">
        <f t="array" ref="Z356:Z358">H356:H358</f>
        <v>25.077940000000002</v>
      </c>
      <c r="AH356" cm="1">
        <f t="array" ref="AH356:AH358">I356:I358</f>
        <v>121</v>
      </c>
    </row>
    <row r="357" spans="1:34" x14ac:dyDescent="0.25">
      <c r="A357" t="s">
        <v>713</v>
      </c>
      <c r="B357" t="s">
        <v>1349</v>
      </c>
      <c r="C357" t="s">
        <v>1347</v>
      </c>
      <c r="D357" t="s">
        <v>1298</v>
      </c>
      <c r="E357">
        <v>132</v>
      </c>
      <c r="F357" t="s">
        <v>1316</v>
      </c>
      <c r="G357" s="2" t="s">
        <v>222</v>
      </c>
      <c r="H357">
        <v>62.678263999999999</v>
      </c>
      <c r="I357">
        <v>288</v>
      </c>
      <c r="J357" t="s">
        <v>1284</v>
      </c>
      <c r="K357" t="s">
        <v>1327</v>
      </c>
      <c r="R357" t="str">
        <v>t</v>
      </c>
      <c r="Z357">
        <v>62.678263999999999</v>
      </c>
      <c r="AH357">
        <v>288</v>
      </c>
    </row>
    <row r="358" spans="1:34" s="3" customFormat="1" x14ac:dyDescent="0.25">
      <c r="A358" s="3" t="s">
        <v>714</v>
      </c>
      <c r="B358" t="s">
        <v>1349</v>
      </c>
      <c r="C358" t="s">
        <v>1347</v>
      </c>
      <c r="D358" s="3" t="s">
        <v>1298</v>
      </c>
      <c r="E358" s="3">
        <v>132</v>
      </c>
      <c r="F358" s="3" t="s">
        <v>1317</v>
      </c>
      <c r="G358" s="4" t="s">
        <v>222</v>
      </c>
      <c r="H358" s="3">
        <v>69.931578000000002</v>
      </c>
      <c r="I358" s="3">
        <v>322</v>
      </c>
      <c r="J358" s="3" t="s">
        <v>1284</v>
      </c>
      <c r="K358" s="3" t="s">
        <v>1327</v>
      </c>
      <c r="R358" s="3" t="str">
        <v>t</v>
      </c>
      <c r="Z358" s="3">
        <v>69.931578000000002</v>
      </c>
      <c r="AH358" s="3">
        <v>322</v>
      </c>
    </row>
    <row r="359" spans="1:34" s="5" customFormat="1" x14ac:dyDescent="0.25">
      <c r="A359" s="5" t="s">
        <v>715</v>
      </c>
      <c r="B359" s="5" t="s">
        <v>1349</v>
      </c>
      <c r="C359" s="5" t="s">
        <v>1347</v>
      </c>
      <c r="D359" s="5" t="s">
        <v>716</v>
      </c>
      <c r="E359" s="5">
        <v>90</v>
      </c>
      <c r="F359" s="5" t="s">
        <v>717</v>
      </c>
      <c r="G359" s="6" t="s">
        <v>222</v>
      </c>
      <c r="H359" s="5">
        <v>4.3066120000000003</v>
      </c>
      <c r="I359" s="5">
        <v>24</v>
      </c>
      <c r="J359" s="5" t="s">
        <v>1285</v>
      </c>
      <c r="K359" s="5" t="s">
        <v>1327</v>
      </c>
      <c r="L359" s="5" t="str" cm="1">
        <f t="array" ref="L359:L361">G359:G361</f>
        <v>t</v>
      </c>
      <c r="T359" s="5" cm="1">
        <f t="array" ref="T359:T361">H359:H361</f>
        <v>4.3066120000000003</v>
      </c>
      <c r="AB359" s="5" cm="1">
        <f t="array" ref="AB359:AB361">I359:I361</f>
        <v>24</v>
      </c>
    </row>
    <row r="360" spans="1:34" x14ac:dyDescent="0.25">
      <c r="A360" t="s">
        <v>718</v>
      </c>
      <c r="B360" s="5" t="s">
        <v>1349</v>
      </c>
      <c r="C360" s="5" t="s">
        <v>1347</v>
      </c>
      <c r="D360" t="s">
        <v>716</v>
      </c>
      <c r="E360">
        <v>90</v>
      </c>
      <c r="F360" t="s">
        <v>719</v>
      </c>
      <c r="G360" s="2" t="s">
        <v>222</v>
      </c>
      <c r="H360">
        <v>3.5804149999999999</v>
      </c>
      <c r="I360">
        <v>21</v>
      </c>
      <c r="J360" t="s">
        <v>1285</v>
      </c>
      <c r="K360" t="s">
        <v>1327</v>
      </c>
      <c r="L360" t="str">
        <v>t</v>
      </c>
      <c r="T360">
        <v>3.5804149999999999</v>
      </c>
      <c r="AB360">
        <v>21</v>
      </c>
    </row>
    <row r="361" spans="1:34" x14ac:dyDescent="0.25">
      <c r="A361" t="s">
        <v>720</v>
      </c>
      <c r="B361" s="5" t="s">
        <v>1349</v>
      </c>
      <c r="C361" s="5" t="s">
        <v>1347</v>
      </c>
      <c r="D361" t="s">
        <v>716</v>
      </c>
      <c r="E361">
        <v>90</v>
      </c>
      <c r="F361" t="s">
        <v>721</v>
      </c>
      <c r="G361" s="2" t="s">
        <v>222</v>
      </c>
      <c r="H361">
        <v>4.1359909999999998</v>
      </c>
      <c r="I361">
        <v>22</v>
      </c>
      <c r="J361" t="s">
        <v>1285</v>
      </c>
      <c r="K361" t="s">
        <v>1327</v>
      </c>
      <c r="L361" t="str">
        <v>t</v>
      </c>
      <c r="T361">
        <v>4.1359909999999998</v>
      </c>
      <c r="AB361">
        <v>22</v>
      </c>
    </row>
    <row r="362" spans="1:34" x14ac:dyDescent="0.25">
      <c r="A362" t="s">
        <v>722</v>
      </c>
      <c r="B362" s="5" t="s">
        <v>1349</v>
      </c>
      <c r="C362" s="5" t="s">
        <v>1347</v>
      </c>
      <c r="D362" t="s">
        <v>716</v>
      </c>
      <c r="E362">
        <v>100</v>
      </c>
      <c r="F362" t="s">
        <v>723</v>
      </c>
      <c r="G362" s="2" t="s">
        <v>223</v>
      </c>
      <c r="H362">
        <v>48.898848999999998</v>
      </c>
      <c r="I362">
        <v>272</v>
      </c>
      <c r="J362" t="s">
        <v>1285</v>
      </c>
      <c r="K362" t="s">
        <v>1327</v>
      </c>
      <c r="M362" t="str" cm="1">
        <f t="array" ref="M362:M364">G362:G364</f>
        <v>f</v>
      </c>
      <c r="U362" cm="1">
        <f t="array" ref="U362:U364">H362:H364</f>
        <v>48.898848999999998</v>
      </c>
      <c r="AC362" cm="1">
        <f t="array" ref="AC362:AC364">I362:I364</f>
        <v>272</v>
      </c>
    </row>
    <row r="363" spans="1:34" x14ac:dyDescent="0.25">
      <c r="A363" t="s">
        <v>724</v>
      </c>
      <c r="B363" s="5" t="s">
        <v>1349</v>
      </c>
      <c r="C363" s="5" t="s">
        <v>1347</v>
      </c>
      <c r="D363" t="s">
        <v>716</v>
      </c>
      <c r="E363">
        <v>100</v>
      </c>
      <c r="F363" t="s">
        <v>725</v>
      </c>
      <c r="G363" s="2" t="s">
        <v>223</v>
      </c>
      <c r="H363">
        <v>97.94265</v>
      </c>
      <c r="I363">
        <v>492</v>
      </c>
      <c r="J363" t="s">
        <v>1285</v>
      </c>
      <c r="K363" t="s">
        <v>1327</v>
      </c>
      <c r="M363" t="str">
        <v>f</v>
      </c>
      <c r="U363">
        <v>97.94265</v>
      </c>
      <c r="AC363">
        <v>492</v>
      </c>
    </row>
    <row r="364" spans="1:34" x14ac:dyDescent="0.25">
      <c r="A364" t="s">
        <v>726</v>
      </c>
      <c r="B364" s="5" t="s">
        <v>1349</v>
      </c>
      <c r="C364" s="5" t="s">
        <v>1347</v>
      </c>
      <c r="D364" t="s">
        <v>716</v>
      </c>
      <c r="E364">
        <v>100</v>
      </c>
      <c r="F364" t="s">
        <v>727</v>
      </c>
      <c r="G364" s="2" t="s">
        <v>222</v>
      </c>
      <c r="H364">
        <v>79.378399999999999</v>
      </c>
      <c r="I364">
        <v>417</v>
      </c>
      <c r="J364" t="s">
        <v>1285</v>
      </c>
      <c r="K364" t="s">
        <v>1327</v>
      </c>
      <c r="M364" t="str">
        <v>t</v>
      </c>
      <c r="U364">
        <v>79.378399999999999</v>
      </c>
      <c r="AC364">
        <v>417</v>
      </c>
    </row>
    <row r="365" spans="1:34" x14ac:dyDescent="0.25">
      <c r="A365" t="s">
        <v>728</v>
      </c>
      <c r="B365" s="5" t="s">
        <v>1349</v>
      </c>
      <c r="C365" s="5" t="s">
        <v>1347</v>
      </c>
      <c r="D365" t="s">
        <v>716</v>
      </c>
      <c r="E365">
        <v>155</v>
      </c>
      <c r="F365" t="s">
        <v>729</v>
      </c>
      <c r="G365" s="2" t="s">
        <v>222</v>
      </c>
      <c r="H365">
        <v>49.896273999999998</v>
      </c>
      <c r="I365">
        <v>264</v>
      </c>
      <c r="J365" t="s">
        <v>1285</v>
      </c>
      <c r="K365" t="s">
        <v>1327</v>
      </c>
      <c r="N365" t="str" cm="1">
        <f t="array" ref="N365:N367">G365:G367</f>
        <v>t</v>
      </c>
      <c r="V365" cm="1">
        <f t="array" ref="V365:V367">H365:H367</f>
        <v>49.896273999999998</v>
      </c>
      <c r="AD365" cm="1">
        <f t="array" ref="AD365:AD367">I365:I367</f>
        <v>264</v>
      </c>
    </row>
    <row r="366" spans="1:34" x14ac:dyDescent="0.25">
      <c r="A366" t="s">
        <v>730</v>
      </c>
      <c r="B366" s="5" t="s">
        <v>1349</v>
      </c>
      <c r="C366" s="5" t="s">
        <v>1347</v>
      </c>
      <c r="D366" t="s">
        <v>716</v>
      </c>
      <c r="E366">
        <v>155</v>
      </c>
      <c r="F366" t="s">
        <v>731</v>
      </c>
      <c r="G366" s="2" t="s">
        <v>222</v>
      </c>
      <c r="H366">
        <v>46.249150999999998</v>
      </c>
      <c r="I366">
        <v>235</v>
      </c>
      <c r="J366" t="s">
        <v>1285</v>
      </c>
      <c r="K366" t="s">
        <v>1327</v>
      </c>
      <c r="N366" t="str">
        <v>t</v>
      </c>
      <c r="V366">
        <v>46.249150999999998</v>
      </c>
      <c r="AD366">
        <v>235</v>
      </c>
    </row>
    <row r="367" spans="1:34" x14ac:dyDescent="0.25">
      <c r="A367" t="s">
        <v>732</v>
      </c>
      <c r="B367" s="5" t="s">
        <v>1349</v>
      </c>
      <c r="C367" s="5" t="s">
        <v>1347</v>
      </c>
      <c r="D367" t="s">
        <v>716</v>
      </c>
      <c r="E367">
        <v>155</v>
      </c>
      <c r="F367" t="s">
        <v>733</v>
      </c>
      <c r="G367" s="2" t="s">
        <v>222</v>
      </c>
      <c r="H367">
        <v>22.537367</v>
      </c>
      <c r="I367">
        <v>115</v>
      </c>
      <c r="J367" t="s">
        <v>1285</v>
      </c>
      <c r="K367" t="s">
        <v>1327</v>
      </c>
      <c r="N367" t="str">
        <v>t</v>
      </c>
      <c r="V367">
        <v>22.537367</v>
      </c>
      <c r="AD367">
        <v>115</v>
      </c>
    </row>
    <row r="368" spans="1:34" x14ac:dyDescent="0.25">
      <c r="A368" t="s">
        <v>734</v>
      </c>
      <c r="B368" s="5" t="s">
        <v>1349</v>
      </c>
      <c r="C368" s="5" t="s">
        <v>1347</v>
      </c>
      <c r="D368" t="s">
        <v>716</v>
      </c>
      <c r="E368">
        <v>128</v>
      </c>
      <c r="F368" t="s">
        <v>735</v>
      </c>
      <c r="G368" s="2" t="s">
        <v>222</v>
      </c>
      <c r="H368">
        <v>22.812778000000002</v>
      </c>
      <c r="I368">
        <v>123</v>
      </c>
      <c r="J368" t="s">
        <v>1285</v>
      </c>
      <c r="K368" t="s">
        <v>1327</v>
      </c>
      <c r="O368" t="str" cm="1">
        <f t="array" ref="O368:O370">G368:G370</f>
        <v>t</v>
      </c>
      <c r="W368" cm="1">
        <f t="array" ref="W368:W370">H368:H370</f>
        <v>22.812778000000002</v>
      </c>
      <c r="AE368" cm="1">
        <f t="array" ref="AE368:AE370">I368:I370</f>
        <v>123</v>
      </c>
    </row>
    <row r="369" spans="1:34" x14ac:dyDescent="0.25">
      <c r="A369" t="s">
        <v>736</v>
      </c>
      <c r="B369" s="5" t="s">
        <v>1349</v>
      </c>
      <c r="C369" s="5" t="s">
        <v>1347</v>
      </c>
      <c r="D369" t="s">
        <v>716</v>
      </c>
      <c r="E369">
        <v>128</v>
      </c>
      <c r="F369" t="s">
        <v>737</v>
      </c>
      <c r="G369" s="2" t="s">
        <v>222</v>
      </c>
      <c r="H369">
        <v>37.070898999999997</v>
      </c>
      <c r="I369">
        <v>188</v>
      </c>
      <c r="J369" t="s">
        <v>1285</v>
      </c>
      <c r="K369" t="s">
        <v>1327</v>
      </c>
      <c r="O369" t="str">
        <v>t</v>
      </c>
      <c r="W369">
        <v>37.070898999999997</v>
      </c>
      <c r="AE369">
        <v>188</v>
      </c>
    </row>
    <row r="370" spans="1:34" x14ac:dyDescent="0.25">
      <c r="A370" t="s">
        <v>738</v>
      </c>
      <c r="B370" s="5" t="s">
        <v>1349</v>
      </c>
      <c r="C370" s="5" t="s">
        <v>1347</v>
      </c>
      <c r="D370" t="s">
        <v>716</v>
      </c>
      <c r="E370">
        <v>128</v>
      </c>
      <c r="F370" t="s">
        <v>739</v>
      </c>
      <c r="G370" s="2" t="s">
        <v>222</v>
      </c>
      <c r="H370">
        <v>25.375952999999999</v>
      </c>
      <c r="I370">
        <v>136</v>
      </c>
      <c r="J370" t="s">
        <v>1285</v>
      </c>
      <c r="K370" t="s">
        <v>1327</v>
      </c>
      <c r="O370" t="str">
        <v>t</v>
      </c>
      <c r="W370">
        <v>25.375952999999999</v>
      </c>
      <c r="AE370">
        <v>136</v>
      </c>
    </row>
    <row r="371" spans="1:34" x14ac:dyDescent="0.25">
      <c r="A371" s="1" t="s">
        <v>740</v>
      </c>
      <c r="B371" s="5" t="s">
        <v>1349</v>
      </c>
      <c r="C371" s="5" t="s">
        <v>1347</v>
      </c>
      <c r="D371" t="s">
        <v>716</v>
      </c>
      <c r="E371">
        <v>126</v>
      </c>
      <c r="F371" t="s">
        <v>741</v>
      </c>
      <c r="G371" s="2" t="s">
        <v>223</v>
      </c>
      <c r="H371">
        <v>61.540883000000001</v>
      </c>
      <c r="I371">
        <v>312</v>
      </c>
      <c r="J371" t="s">
        <v>1285</v>
      </c>
      <c r="K371" t="s">
        <v>1327</v>
      </c>
      <c r="P371" t="str" cm="1">
        <f t="array" ref="P371:P373">G371:G373</f>
        <v>f</v>
      </c>
      <c r="X371" cm="1">
        <f t="array" ref="X371:X373">H371:H373</f>
        <v>61.540883000000001</v>
      </c>
      <c r="AF371" cm="1">
        <f t="array" ref="AF371:AF373">I371:I373</f>
        <v>312</v>
      </c>
    </row>
    <row r="372" spans="1:34" x14ac:dyDescent="0.25">
      <c r="A372" s="1" t="s">
        <v>742</v>
      </c>
      <c r="B372" s="5" t="s">
        <v>1349</v>
      </c>
      <c r="C372" s="5" t="s">
        <v>1347</v>
      </c>
      <c r="D372" t="s">
        <v>716</v>
      </c>
      <c r="E372">
        <v>126</v>
      </c>
      <c r="F372" t="s">
        <v>743</v>
      </c>
      <c r="G372" s="2" t="s">
        <v>223</v>
      </c>
      <c r="H372">
        <v>30.960125000000001</v>
      </c>
      <c r="I372">
        <v>160</v>
      </c>
      <c r="J372" t="s">
        <v>1285</v>
      </c>
      <c r="K372" t="s">
        <v>1327</v>
      </c>
      <c r="P372" t="str">
        <v>f</v>
      </c>
      <c r="X372">
        <v>30.960125000000001</v>
      </c>
      <c r="AF372">
        <v>160</v>
      </c>
    </row>
    <row r="373" spans="1:34" x14ac:dyDescent="0.25">
      <c r="A373" s="1" t="s">
        <v>744</v>
      </c>
      <c r="B373" s="5" t="s">
        <v>1349</v>
      </c>
      <c r="C373" s="5" t="s">
        <v>1347</v>
      </c>
      <c r="D373" t="s">
        <v>716</v>
      </c>
      <c r="E373">
        <v>126</v>
      </c>
      <c r="F373" t="s">
        <v>745</v>
      </c>
      <c r="G373" s="2" t="s">
        <v>223</v>
      </c>
      <c r="H373">
        <v>57.659078999999998</v>
      </c>
      <c r="I373">
        <v>300</v>
      </c>
      <c r="J373" t="s">
        <v>1285</v>
      </c>
      <c r="K373" t="s">
        <v>1327</v>
      </c>
      <c r="P373" t="str">
        <v>f</v>
      </c>
      <c r="X373">
        <v>57.659078999999998</v>
      </c>
      <c r="AF373">
        <v>300</v>
      </c>
    </row>
    <row r="374" spans="1:34" x14ac:dyDescent="0.25">
      <c r="A374" t="s">
        <v>746</v>
      </c>
      <c r="B374" s="5" t="s">
        <v>1349</v>
      </c>
      <c r="C374" s="5" t="s">
        <v>1347</v>
      </c>
      <c r="D374" t="s">
        <v>716</v>
      </c>
      <c r="E374">
        <v>127</v>
      </c>
      <c r="F374" t="s">
        <v>747</v>
      </c>
      <c r="G374" s="2" t="s">
        <v>223</v>
      </c>
      <c r="H374">
        <v>25.599692999999998</v>
      </c>
      <c r="I374">
        <v>134</v>
      </c>
      <c r="J374" t="s">
        <v>1285</v>
      </c>
      <c r="K374" t="s">
        <v>1327</v>
      </c>
      <c r="Q374" t="str" cm="1">
        <f t="array" ref="Q374:Q376">G374:G376</f>
        <v>f</v>
      </c>
      <c r="Y374" cm="1">
        <f t="array" ref="Y374:Y376">H374:H376</f>
        <v>25.599692999999998</v>
      </c>
      <c r="AG374" cm="1">
        <f t="array" ref="AG374:AG376">I374:I376</f>
        <v>134</v>
      </c>
    </row>
    <row r="375" spans="1:34" x14ac:dyDescent="0.25">
      <c r="A375" t="s">
        <v>748</v>
      </c>
      <c r="B375" s="5" t="s">
        <v>1349</v>
      </c>
      <c r="C375" s="5" t="s">
        <v>1347</v>
      </c>
      <c r="D375" t="s">
        <v>716</v>
      </c>
      <c r="E375">
        <v>127</v>
      </c>
      <c r="F375" t="s">
        <v>749</v>
      </c>
      <c r="G375" s="2" t="s">
        <v>222</v>
      </c>
      <c r="H375">
        <v>35.023449999999997</v>
      </c>
      <c r="I375">
        <v>179</v>
      </c>
      <c r="J375" t="s">
        <v>1285</v>
      </c>
      <c r="K375" t="s">
        <v>1327</v>
      </c>
      <c r="Q375" t="str">
        <v>t</v>
      </c>
      <c r="Y375">
        <v>35.023449999999997</v>
      </c>
      <c r="AG375">
        <v>179</v>
      </c>
    </row>
    <row r="376" spans="1:34" x14ac:dyDescent="0.25">
      <c r="A376" t="s">
        <v>750</v>
      </c>
      <c r="B376" s="5" t="s">
        <v>1349</v>
      </c>
      <c r="C376" s="5" t="s">
        <v>1347</v>
      </c>
      <c r="D376" t="s">
        <v>716</v>
      </c>
      <c r="E376">
        <v>127</v>
      </c>
      <c r="F376" t="s">
        <v>751</v>
      </c>
      <c r="G376" s="2" t="s">
        <v>223</v>
      </c>
      <c r="H376">
        <v>83.431932000000003</v>
      </c>
      <c r="I376">
        <v>421</v>
      </c>
      <c r="J376" t="s">
        <v>1285</v>
      </c>
      <c r="K376" t="s">
        <v>1327</v>
      </c>
      <c r="Q376" t="str">
        <v>f</v>
      </c>
      <c r="Y376">
        <v>83.431932000000003</v>
      </c>
      <c r="AG376">
        <v>421</v>
      </c>
    </row>
    <row r="377" spans="1:34" x14ac:dyDescent="0.25">
      <c r="A377" t="s">
        <v>752</v>
      </c>
      <c r="B377" s="5" t="s">
        <v>1349</v>
      </c>
      <c r="C377" s="5" t="s">
        <v>1347</v>
      </c>
      <c r="D377" t="s">
        <v>716</v>
      </c>
      <c r="E377">
        <v>131</v>
      </c>
      <c r="F377" t="s">
        <v>753</v>
      </c>
      <c r="G377" s="2" t="s">
        <v>222</v>
      </c>
      <c r="H377">
        <v>42.224314</v>
      </c>
      <c r="I377">
        <v>222</v>
      </c>
      <c r="J377" t="s">
        <v>1285</v>
      </c>
      <c r="K377" t="s">
        <v>1327</v>
      </c>
      <c r="R377" t="str" cm="1">
        <f t="array" ref="R377:R379">G377:G379</f>
        <v>t</v>
      </c>
      <c r="Z377" cm="1">
        <f t="array" ref="Z377:Z379">H377:H379</f>
        <v>42.224314</v>
      </c>
      <c r="AH377" cm="1">
        <f t="array" ref="AH377:AH379">I377:I379</f>
        <v>222</v>
      </c>
    </row>
    <row r="378" spans="1:34" x14ac:dyDescent="0.25">
      <c r="A378" t="s">
        <v>754</v>
      </c>
      <c r="B378" s="5" t="s">
        <v>1349</v>
      </c>
      <c r="C378" s="5" t="s">
        <v>1347</v>
      </c>
      <c r="D378" t="s">
        <v>716</v>
      </c>
      <c r="E378">
        <v>131</v>
      </c>
      <c r="F378" t="s">
        <v>755</v>
      </c>
      <c r="G378" s="2" t="s">
        <v>223</v>
      </c>
      <c r="H378">
        <v>38.479469999999999</v>
      </c>
      <c r="I378">
        <v>206</v>
      </c>
      <c r="J378" t="s">
        <v>1285</v>
      </c>
      <c r="K378" t="s">
        <v>1327</v>
      </c>
      <c r="R378" t="str">
        <v>f</v>
      </c>
      <c r="Z378">
        <v>38.479469999999999</v>
      </c>
      <c r="AH378">
        <v>206</v>
      </c>
    </row>
    <row r="379" spans="1:34" s="3" customFormat="1" x14ac:dyDescent="0.25">
      <c r="A379" s="3" t="s">
        <v>756</v>
      </c>
      <c r="B379" s="5" t="s">
        <v>1349</v>
      </c>
      <c r="C379" s="5" t="s">
        <v>1347</v>
      </c>
      <c r="D379" s="3" t="s">
        <v>716</v>
      </c>
      <c r="E379" s="3">
        <v>131</v>
      </c>
      <c r="F379" s="3" t="s">
        <v>757</v>
      </c>
      <c r="G379" s="4" t="s">
        <v>223</v>
      </c>
      <c r="H379" s="3">
        <v>31.510114000000002</v>
      </c>
      <c r="I379" s="3">
        <v>171</v>
      </c>
      <c r="J379" s="3" t="s">
        <v>1285</v>
      </c>
      <c r="K379" s="3" t="s">
        <v>1327</v>
      </c>
      <c r="R379" s="3" t="str">
        <v>f</v>
      </c>
      <c r="Z379" s="3">
        <v>31.510114000000002</v>
      </c>
      <c r="AH379" s="3">
        <v>171</v>
      </c>
    </row>
    <row r="380" spans="1:34" s="5" customFormat="1" x14ac:dyDescent="0.25">
      <c r="A380" s="5" t="s">
        <v>758</v>
      </c>
      <c r="B380" s="5" t="s">
        <v>1350</v>
      </c>
      <c r="C380" s="5" t="s">
        <v>1347</v>
      </c>
      <c r="D380" s="5" t="s">
        <v>759</v>
      </c>
      <c r="E380" s="5">
        <v>83</v>
      </c>
      <c r="F380" s="5" t="s">
        <v>760</v>
      </c>
      <c r="G380" s="6" t="s">
        <v>223</v>
      </c>
      <c r="H380" s="5">
        <v>3.0236369999999999</v>
      </c>
      <c r="I380" s="5">
        <v>16</v>
      </c>
      <c r="J380" s="5" t="s">
        <v>1286</v>
      </c>
      <c r="K380" s="5" t="s">
        <v>1327</v>
      </c>
      <c r="L380" s="5" t="str" cm="1">
        <f t="array" ref="L380:L382">G380:G382</f>
        <v>f</v>
      </c>
      <c r="T380" s="5" cm="1">
        <f t="array" ref="T380:T382">H380:H382</f>
        <v>3.0236369999999999</v>
      </c>
      <c r="AB380" s="5" cm="1">
        <f t="array" ref="AB380:AB382">I380:I382</f>
        <v>16</v>
      </c>
    </row>
    <row r="381" spans="1:34" x14ac:dyDescent="0.25">
      <c r="A381" t="s">
        <v>761</v>
      </c>
      <c r="B381" s="5" t="s">
        <v>1350</v>
      </c>
      <c r="C381" s="5" t="s">
        <v>1347</v>
      </c>
      <c r="D381" t="s">
        <v>759</v>
      </c>
      <c r="E381">
        <v>83</v>
      </c>
      <c r="F381" t="s">
        <v>762</v>
      </c>
      <c r="G381" s="2" t="s">
        <v>223</v>
      </c>
      <c r="H381">
        <v>2.3144559999999998</v>
      </c>
      <c r="I381">
        <v>15</v>
      </c>
      <c r="J381" t="s">
        <v>1286</v>
      </c>
      <c r="K381" t="s">
        <v>1327</v>
      </c>
      <c r="L381" t="str">
        <v>f</v>
      </c>
      <c r="T381">
        <v>2.3144559999999998</v>
      </c>
      <c r="AB381">
        <v>15</v>
      </c>
    </row>
    <row r="382" spans="1:34" x14ac:dyDescent="0.25">
      <c r="A382" t="s">
        <v>763</v>
      </c>
      <c r="B382" s="5" t="s">
        <v>1350</v>
      </c>
      <c r="C382" s="5" t="s">
        <v>1347</v>
      </c>
      <c r="D382" t="s">
        <v>759</v>
      </c>
      <c r="E382">
        <v>83</v>
      </c>
      <c r="F382" t="s">
        <v>762</v>
      </c>
      <c r="G382" s="2" t="s">
        <v>223</v>
      </c>
      <c r="H382">
        <v>2.529871</v>
      </c>
      <c r="I382">
        <v>15</v>
      </c>
      <c r="J382" t="s">
        <v>1286</v>
      </c>
      <c r="K382" t="s">
        <v>1327</v>
      </c>
      <c r="L382" t="str">
        <v>f</v>
      </c>
      <c r="T382">
        <v>2.529871</v>
      </c>
      <c r="AB382">
        <v>15</v>
      </c>
    </row>
    <row r="383" spans="1:34" x14ac:dyDescent="0.25">
      <c r="A383" t="s">
        <v>764</v>
      </c>
      <c r="B383" s="5" t="s">
        <v>1350</v>
      </c>
      <c r="C383" s="5" t="s">
        <v>1347</v>
      </c>
      <c r="D383" t="s">
        <v>759</v>
      </c>
      <c r="E383">
        <v>93</v>
      </c>
      <c r="F383" t="s">
        <v>765</v>
      </c>
      <c r="G383" s="2" t="s">
        <v>223</v>
      </c>
      <c r="H383">
        <v>48.588192999999997</v>
      </c>
      <c r="I383">
        <v>273</v>
      </c>
      <c r="J383" t="s">
        <v>1286</v>
      </c>
      <c r="K383" t="s">
        <v>1327</v>
      </c>
      <c r="M383" t="str" cm="1">
        <f t="array" ref="M383:M385">G383:G385</f>
        <v>f</v>
      </c>
      <c r="U383" cm="1">
        <f t="array" ref="U383:U385">H383:H385</f>
        <v>48.588192999999997</v>
      </c>
      <c r="AC383" cm="1">
        <f t="array" ref="AC383:AC385">I383:I385</f>
        <v>273</v>
      </c>
    </row>
    <row r="384" spans="1:34" x14ac:dyDescent="0.25">
      <c r="A384" t="s">
        <v>766</v>
      </c>
      <c r="B384" s="5" t="s">
        <v>1350</v>
      </c>
      <c r="C384" s="5" t="s">
        <v>1347</v>
      </c>
      <c r="D384" t="s">
        <v>759</v>
      </c>
      <c r="E384">
        <v>93</v>
      </c>
      <c r="F384" t="s">
        <v>767</v>
      </c>
      <c r="G384" s="2" t="s">
        <v>223</v>
      </c>
      <c r="H384">
        <v>66.775989999999993</v>
      </c>
      <c r="I384">
        <v>350</v>
      </c>
      <c r="J384" t="s">
        <v>1286</v>
      </c>
      <c r="K384" t="s">
        <v>1327</v>
      </c>
      <c r="M384" t="str">
        <v>f</v>
      </c>
      <c r="U384">
        <v>66.775989999999993</v>
      </c>
      <c r="AC384">
        <v>350</v>
      </c>
    </row>
    <row r="385" spans="1:34" x14ac:dyDescent="0.25">
      <c r="A385" t="s">
        <v>768</v>
      </c>
      <c r="B385" s="5" t="s">
        <v>1350</v>
      </c>
      <c r="C385" s="5" t="s">
        <v>1347</v>
      </c>
      <c r="D385" t="s">
        <v>759</v>
      </c>
      <c r="E385">
        <v>93</v>
      </c>
      <c r="F385" t="s">
        <v>769</v>
      </c>
      <c r="G385" s="2" t="s">
        <v>223</v>
      </c>
      <c r="H385">
        <v>50.876863999999998</v>
      </c>
      <c r="I385">
        <v>258</v>
      </c>
      <c r="J385" t="s">
        <v>1286</v>
      </c>
      <c r="K385" t="s">
        <v>1327</v>
      </c>
      <c r="M385" t="str">
        <v>f</v>
      </c>
      <c r="U385">
        <v>50.876863999999998</v>
      </c>
      <c r="AC385">
        <v>258</v>
      </c>
    </row>
    <row r="386" spans="1:34" x14ac:dyDescent="0.25">
      <c r="A386" t="s">
        <v>770</v>
      </c>
      <c r="B386" s="5" t="s">
        <v>1350</v>
      </c>
      <c r="C386" s="5" t="s">
        <v>1347</v>
      </c>
      <c r="D386" t="s">
        <v>759</v>
      </c>
      <c r="E386">
        <v>148</v>
      </c>
      <c r="F386" t="s">
        <v>771</v>
      </c>
      <c r="G386" s="2" t="s">
        <v>223</v>
      </c>
      <c r="H386">
        <v>39.517837999999998</v>
      </c>
      <c r="I386">
        <v>203</v>
      </c>
      <c r="J386" t="s">
        <v>1286</v>
      </c>
      <c r="K386" t="s">
        <v>1327</v>
      </c>
      <c r="N386" t="str" cm="1">
        <f t="array" ref="N386:N388">G386:G388</f>
        <v>f</v>
      </c>
      <c r="V386" cm="1">
        <f t="array" ref="V386:V388">H386:H388</f>
        <v>39.517837999999998</v>
      </c>
      <c r="AD386" cm="1">
        <f t="array" ref="AD386:AD388">I386:I388</f>
        <v>203</v>
      </c>
    </row>
    <row r="387" spans="1:34" x14ac:dyDescent="0.25">
      <c r="A387" t="s">
        <v>772</v>
      </c>
      <c r="B387" s="5" t="s">
        <v>1350</v>
      </c>
      <c r="C387" s="5" t="s">
        <v>1347</v>
      </c>
      <c r="D387" t="s">
        <v>759</v>
      </c>
      <c r="E387">
        <v>148</v>
      </c>
      <c r="F387" t="s">
        <v>773</v>
      </c>
      <c r="G387" s="2" t="s">
        <v>223</v>
      </c>
      <c r="H387">
        <v>39.967624999999998</v>
      </c>
      <c r="I387">
        <v>204</v>
      </c>
      <c r="J387" t="s">
        <v>1286</v>
      </c>
      <c r="K387" t="s">
        <v>1327</v>
      </c>
      <c r="N387" t="str">
        <v>f</v>
      </c>
      <c r="V387">
        <v>39.967624999999998</v>
      </c>
      <c r="AD387">
        <v>204</v>
      </c>
    </row>
    <row r="388" spans="1:34" x14ac:dyDescent="0.25">
      <c r="A388" t="s">
        <v>774</v>
      </c>
      <c r="B388" s="5" t="s">
        <v>1350</v>
      </c>
      <c r="C388" s="5" t="s">
        <v>1347</v>
      </c>
      <c r="D388" t="s">
        <v>759</v>
      </c>
      <c r="E388">
        <v>148</v>
      </c>
      <c r="F388" t="s">
        <v>775</v>
      </c>
      <c r="G388" s="2" t="s">
        <v>223</v>
      </c>
      <c r="H388">
        <v>55.119230000000002</v>
      </c>
      <c r="I388">
        <v>289</v>
      </c>
      <c r="J388" t="s">
        <v>1286</v>
      </c>
      <c r="K388" t="s">
        <v>1327</v>
      </c>
      <c r="N388" t="str">
        <v>f</v>
      </c>
      <c r="V388">
        <v>55.119230000000002</v>
      </c>
      <c r="AD388">
        <v>289</v>
      </c>
    </row>
    <row r="389" spans="1:34" x14ac:dyDescent="0.25">
      <c r="A389" t="s">
        <v>776</v>
      </c>
      <c r="B389" s="5" t="s">
        <v>1350</v>
      </c>
      <c r="C389" s="5" t="s">
        <v>1347</v>
      </c>
      <c r="D389" t="s">
        <v>759</v>
      </c>
      <c r="E389">
        <v>121</v>
      </c>
      <c r="F389" t="s">
        <v>777</v>
      </c>
      <c r="G389" s="2" t="s">
        <v>222</v>
      </c>
      <c r="H389">
        <v>59.594420999999997</v>
      </c>
      <c r="I389">
        <v>313</v>
      </c>
      <c r="J389" t="s">
        <v>1286</v>
      </c>
      <c r="K389" t="s">
        <v>1327</v>
      </c>
      <c r="O389" t="str" cm="1">
        <f t="array" ref="O389:O391">G389:G391</f>
        <v>t</v>
      </c>
      <c r="W389" cm="1">
        <f t="array" ref="W389:W391">H389:H391</f>
        <v>59.594420999999997</v>
      </c>
      <c r="AE389" cm="1">
        <f t="array" ref="AE389:AE391">I389:I391</f>
        <v>313</v>
      </c>
    </row>
    <row r="390" spans="1:34" x14ac:dyDescent="0.25">
      <c r="A390" t="s">
        <v>778</v>
      </c>
      <c r="B390" s="5" t="s">
        <v>1350</v>
      </c>
      <c r="C390" s="5" t="s">
        <v>1347</v>
      </c>
      <c r="D390" t="s">
        <v>759</v>
      </c>
      <c r="E390">
        <v>121</v>
      </c>
      <c r="F390" t="s">
        <v>779</v>
      </c>
      <c r="G390" s="2" t="s">
        <v>222</v>
      </c>
      <c r="H390">
        <v>53.612641000000004</v>
      </c>
      <c r="I390">
        <v>274</v>
      </c>
      <c r="J390" t="s">
        <v>1286</v>
      </c>
      <c r="K390" t="s">
        <v>1327</v>
      </c>
      <c r="O390" t="str">
        <v>t</v>
      </c>
      <c r="W390">
        <v>53.612641000000004</v>
      </c>
      <c r="AE390">
        <v>274</v>
      </c>
    </row>
    <row r="391" spans="1:34" x14ac:dyDescent="0.25">
      <c r="A391" t="s">
        <v>780</v>
      </c>
      <c r="B391" s="5" t="s">
        <v>1350</v>
      </c>
      <c r="C391" s="5" t="s">
        <v>1347</v>
      </c>
      <c r="D391" t="s">
        <v>759</v>
      </c>
      <c r="E391">
        <v>121</v>
      </c>
      <c r="F391" t="s">
        <v>781</v>
      </c>
      <c r="G391" s="2" t="s">
        <v>223</v>
      </c>
      <c r="H391">
        <v>42.281827999999997</v>
      </c>
      <c r="I391">
        <v>224</v>
      </c>
      <c r="J391" t="s">
        <v>1286</v>
      </c>
      <c r="K391" t="s">
        <v>1327</v>
      </c>
      <c r="O391" t="str">
        <v>f</v>
      </c>
      <c r="W391">
        <v>42.281827999999997</v>
      </c>
      <c r="AE391">
        <v>224</v>
      </c>
    </row>
    <row r="392" spans="1:34" x14ac:dyDescent="0.25">
      <c r="A392" s="1" t="s">
        <v>782</v>
      </c>
      <c r="B392" s="5" t="s">
        <v>1350</v>
      </c>
      <c r="C392" s="5" t="s">
        <v>1347</v>
      </c>
      <c r="D392" t="s">
        <v>759</v>
      </c>
      <c r="E392">
        <v>119</v>
      </c>
      <c r="F392" t="s">
        <v>783</v>
      </c>
      <c r="G392" s="2" t="s">
        <v>223</v>
      </c>
      <c r="H392">
        <v>26.210846</v>
      </c>
      <c r="I392">
        <v>127</v>
      </c>
      <c r="J392" t="s">
        <v>1286</v>
      </c>
      <c r="K392" t="s">
        <v>1327</v>
      </c>
      <c r="P392" t="str" cm="1">
        <f t="array" ref="P392:P394">G392:G394</f>
        <v>f</v>
      </c>
      <c r="X392" cm="1">
        <f t="array" ref="X392:X394">H392:H394</f>
        <v>26.210846</v>
      </c>
      <c r="AF392" cm="1">
        <f t="array" ref="AF392:AF394">I392:I394</f>
        <v>127</v>
      </c>
    </row>
    <row r="393" spans="1:34" x14ac:dyDescent="0.25">
      <c r="A393" s="1" t="s">
        <v>784</v>
      </c>
      <c r="B393" s="5" t="s">
        <v>1350</v>
      </c>
      <c r="C393" s="5" t="s">
        <v>1347</v>
      </c>
      <c r="D393" t="s">
        <v>759</v>
      </c>
      <c r="E393">
        <v>119</v>
      </c>
      <c r="F393" t="s">
        <v>785</v>
      </c>
      <c r="G393" s="2" t="s">
        <v>223</v>
      </c>
      <c r="H393">
        <v>46.279640000000001</v>
      </c>
      <c r="I393">
        <v>233</v>
      </c>
      <c r="J393" t="s">
        <v>1286</v>
      </c>
      <c r="K393" t="s">
        <v>1327</v>
      </c>
      <c r="P393" t="str">
        <v>f</v>
      </c>
      <c r="X393">
        <v>46.279640000000001</v>
      </c>
      <c r="AF393">
        <v>233</v>
      </c>
    </row>
    <row r="394" spans="1:34" x14ac:dyDescent="0.25">
      <c r="A394" s="1" t="s">
        <v>786</v>
      </c>
      <c r="B394" s="5" t="s">
        <v>1350</v>
      </c>
      <c r="C394" s="5" t="s">
        <v>1347</v>
      </c>
      <c r="D394" t="s">
        <v>759</v>
      </c>
      <c r="E394">
        <v>119</v>
      </c>
      <c r="F394" t="s">
        <v>787</v>
      </c>
      <c r="G394" s="2" t="s">
        <v>223</v>
      </c>
      <c r="H394">
        <v>35.288660999999998</v>
      </c>
      <c r="I394">
        <v>184</v>
      </c>
      <c r="J394" t="s">
        <v>1286</v>
      </c>
      <c r="K394" t="s">
        <v>1327</v>
      </c>
      <c r="P394" t="str">
        <v>f</v>
      </c>
      <c r="X394">
        <v>35.288660999999998</v>
      </c>
      <c r="AF394">
        <v>184</v>
      </c>
    </row>
    <row r="395" spans="1:34" x14ac:dyDescent="0.25">
      <c r="A395" t="s">
        <v>788</v>
      </c>
      <c r="B395" s="5" t="s">
        <v>1350</v>
      </c>
      <c r="C395" s="5" t="s">
        <v>1347</v>
      </c>
      <c r="D395" t="s">
        <v>759</v>
      </c>
      <c r="E395">
        <v>120</v>
      </c>
      <c r="F395" t="s">
        <v>789</v>
      </c>
      <c r="G395" s="2" t="s">
        <v>222</v>
      </c>
      <c r="H395">
        <v>21.928666</v>
      </c>
      <c r="I395">
        <v>117</v>
      </c>
      <c r="J395" t="s">
        <v>1286</v>
      </c>
      <c r="K395" t="s">
        <v>1327</v>
      </c>
      <c r="Q395" t="str" cm="1">
        <f t="array" ref="Q395:Q397">G395:G397</f>
        <v>t</v>
      </c>
      <c r="Y395" cm="1">
        <f t="array" ref="Y395:Y397">H395:H397</f>
        <v>21.928666</v>
      </c>
      <c r="AG395" cm="1">
        <f t="array" ref="AG395:AG397">I395:I397</f>
        <v>117</v>
      </c>
    </row>
    <row r="396" spans="1:34" x14ac:dyDescent="0.25">
      <c r="A396" t="s">
        <v>790</v>
      </c>
      <c r="B396" s="5" t="s">
        <v>1350</v>
      </c>
      <c r="C396" s="5" t="s">
        <v>1347</v>
      </c>
      <c r="D396" t="s">
        <v>759</v>
      </c>
      <c r="E396">
        <v>120</v>
      </c>
      <c r="F396" t="s">
        <v>791</v>
      </c>
      <c r="G396" s="2" t="s">
        <v>223</v>
      </c>
      <c r="H396">
        <v>23.170095</v>
      </c>
      <c r="I396">
        <v>119</v>
      </c>
      <c r="J396" t="s">
        <v>1286</v>
      </c>
      <c r="K396" t="s">
        <v>1327</v>
      </c>
      <c r="Q396" t="str">
        <v>f</v>
      </c>
      <c r="Y396">
        <v>23.170095</v>
      </c>
      <c r="AG396">
        <v>119</v>
      </c>
    </row>
    <row r="397" spans="1:34" x14ac:dyDescent="0.25">
      <c r="A397" t="s">
        <v>792</v>
      </c>
      <c r="B397" s="5" t="s">
        <v>1350</v>
      </c>
      <c r="C397" s="5" t="s">
        <v>1347</v>
      </c>
      <c r="D397" t="s">
        <v>759</v>
      </c>
      <c r="E397">
        <v>120</v>
      </c>
      <c r="F397" t="s">
        <v>793</v>
      </c>
      <c r="G397" s="2" t="s">
        <v>223</v>
      </c>
      <c r="H397">
        <v>30.311499999999999</v>
      </c>
      <c r="I397">
        <v>171</v>
      </c>
      <c r="J397" t="s">
        <v>1286</v>
      </c>
      <c r="K397" t="s">
        <v>1327</v>
      </c>
      <c r="Q397" t="str">
        <v>f</v>
      </c>
      <c r="Y397">
        <v>30.311499999999999</v>
      </c>
      <c r="AG397">
        <v>171</v>
      </c>
    </row>
    <row r="398" spans="1:34" x14ac:dyDescent="0.25">
      <c r="A398" t="s">
        <v>794</v>
      </c>
      <c r="B398" s="5" t="s">
        <v>1350</v>
      </c>
      <c r="C398" s="5" t="s">
        <v>1347</v>
      </c>
      <c r="D398" t="s">
        <v>759</v>
      </c>
      <c r="E398">
        <v>124</v>
      </c>
      <c r="F398" t="s">
        <v>795</v>
      </c>
      <c r="G398" s="2" t="s">
        <v>223</v>
      </c>
      <c r="H398">
        <v>34.938209999999998</v>
      </c>
      <c r="I398">
        <v>174</v>
      </c>
      <c r="J398" t="s">
        <v>1286</v>
      </c>
      <c r="K398" t="s">
        <v>1327</v>
      </c>
      <c r="R398" t="str" cm="1">
        <f t="array" ref="R398:R400">G398:G400</f>
        <v>f</v>
      </c>
      <c r="Z398" cm="1">
        <f t="array" ref="Z398:Z400">H398:H400</f>
        <v>34.938209999999998</v>
      </c>
      <c r="AH398" cm="1">
        <f t="array" ref="AH398:AH400">I398:I400</f>
        <v>174</v>
      </c>
    </row>
    <row r="399" spans="1:34" x14ac:dyDescent="0.25">
      <c r="A399" t="s">
        <v>796</v>
      </c>
      <c r="B399" s="5" t="s">
        <v>1350</v>
      </c>
      <c r="C399" s="5" t="s">
        <v>1347</v>
      </c>
      <c r="D399" t="s">
        <v>759</v>
      </c>
      <c r="E399">
        <v>124</v>
      </c>
      <c r="F399" t="s">
        <v>797</v>
      </c>
      <c r="G399" s="2" t="s">
        <v>222</v>
      </c>
      <c r="H399">
        <v>52.570635000000003</v>
      </c>
      <c r="I399">
        <v>270</v>
      </c>
      <c r="J399" t="s">
        <v>1286</v>
      </c>
      <c r="K399" t="s">
        <v>1327</v>
      </c>
      <c r="R399" t="str">
        <v>t</v>
      </c>
      <c r="Z399">
        <v>52.570635000000003</v>
      </c>
      <c r="AH399">
        <v>270</v>
      </c>
    </row>
    <row r="400" spans="1:34" s="3" customFormat="1" x14ac:dyDescent="0.25">
      <c r="A400" s="3" t="s">
        <v>798</v>
      </c>
      <c r="B400" s="5" t="s">
        <v>1350</v>
      </c>
      <c r="C400" s="5" t="s">
        <v>1347</v>
      </c>
      <c r="D400" s="3" t="s">
        <v>759</v>
      </c>
      <c r="E400" s="3">
        <v>124</v>
      </c>
      <c r="F400" s="3" t="s">
        <v>799</v>
      </c>
      <c r="G400" s="4" t="s">
        <v>223</v>
      </c>
      <c r="H400" s="3">
        <v>27.282876000000002</v>
      </c>
      <c r="I400" s="3">
        <v>144</v>
      </c>
      <c r="J400" s="3" t="s">
        <v>1286</v>
      </c>
      <c r="K400" s="3" t="s">
        <v>1327</v>
      </c>
      <c r="R400" s="3" t="str">
        <v>f</v>
      </c>
      <c r="Z400" s="3">
        <v>27.282876000000002</v>
      </c>
      <c r="AH400" s="3">
        <v>144</v>
      </c>
    </row>
    <row r="401" spans="1:33" s="5" customFormat="1" x14ac:dyDescent="0.25">
      <c r="A401" s="5" t="s">
        <v>800</v>
      </c>
      <c r="B401" s="5" t="s">
        <v>1350</v>
      </c>
      <c r="C401" s="5" t="s">
        <v>1347</v>
      </c>
      <c r="D401" s="5" t="s">
        <v>801</v>
      </c>
      <c r="E401" s="5">
        <v>120</v>
      </c>
      <c r="F401" s="5" t="s">
        <v>802</v>
      </c>
      <c r="G401" s="6" t="s">
        <v>223</v>
      </c>
      <c r="H401" s="5">
        <v>4.4034959999999996</v>
      </c>
      <c r="I401" s="5">
        <v>24</v>
      </c>
      <c r="J401" s="5" t="s">
        <v>1287</v>
      </c>
      <c r="K401" s="5" t="s">
        <v>1327</v>
      </c>
      <c r="L401" s="5" t="str" cm="1">
        <f t="array" ref="L401:L403">G401:G403</f>
        <v>f</v>
      </c>
      <c r="T401" s="5" cm="1">
        <f t="array" ref="T401:T403">H401:H403</f>
        <v>4.4034959999999996</v>
      </c>
      <c r="AB401" s="5" cm="1">
        <f t="array" ref="AB401:AB403">I401:I403</f>
        <v>24</v>
      </c>
    </row>
    <row r="402" spans="1:33" x14ac:dyDescent="0.25">
      <c r="A402" t="s">
        <v>803</v>
      </c>
      <c r="B402" s="5" t="s">
        <v>1350</v>
      </c>
      <c r="C402" s="5" t="s">
        <v>1347</v>
      </c>
      <c r="D402" t="s">
        <v>801</v>
      </c>
      <c r="E402">
        <v>120</v>
      </c>
      <c r="F402" t="s">
        <v>804</v>
      </c>
      <c r="G402" s="2" t="s">
        <v>223</v>
      </c>
      <c r="H402">
        <v>4.6995800000000001</v>
      </c>
      <c r="I402">
        <v>26</v>
      </c>
      <c r="J402" t="s">
        <v>1287</v>
      </c>
      <c r="K402" t="s">
        <v>1327</v>
      </c>
      <c r="L402" t="str">
        <v>f</v>
      </c>
      <c r="T402">
        <v>4.6995800000000001</v>
      </c>
      <c r="AB402">
        <v>26</v>
      </c>
    </row>
    <row r="403" spans="1:33" x14ac:dyDescent="0.25">
      <c r="A403" t="s">
        <v>805</v>
      </c>
      <c r="B403" s="5" t="s">
        <v>1350</v>
      </c>
      <c r="C403" s="5" t="s">
        <v>1347</v>
      </c>
      <c r="D403" t="s">
        <v>801</v>
      </c>
      <c r="E403">
        <v>120</v>
      </c>
      <c r="F403" t="s">
        <v>806</v>
      </c>
      <c r="G403" s="2" t="s">
        <v>223</v>
      </c>
      <c r="H403">
        <v>3.3099699999999999</v>
      </c>
      <c r="I403">
        <v>17</v>
      </c>
      <c r="J403" t="s">
        <v>1287</v>
      </c>
      <c r="K403" t="s">
        <v>1327</v>
      </c>
      <c r="L403" t="str">
        <v>f</v>
      </c>
      <c r="T403">
        <v>3.3099699999999999</v>
      </c>
      <c r="AB403">
        <v>17</v>
      </c>
    </row>
    <row r="404" spans="1:33" x14ac:dyDescent="0.25">
      <c r="A404" t="s">
        <v>807</v>
      </c>
      <c r="B404" s="5" t="s">
        <v>1350</v>
      </c>
      <c r="C404" s="5" t="s">
        <v>1347</v>
      </c>
      <c r="D404" t="s">
        <v>801</v>
      </c>
      <c r="E404">
        <v>130</v>
      </c>
      <c r="F404" t="s">
        <v>808</v>
      </c>
      <c r="G404" s="2" t="s">
        <v>223</v>
      </c>
      <c r="H404">
        <v>102.25161799999999</v>
      </c>
      <c r="I404">
        <v>502</v>
      </c>
      <c r="J404" t="s">
        <v>1287</v>
      </c>
      <c r="K404" t="s">
        <v>1327</v>
      </c>
      <c r="M404" t="str" cm="1">
        <f t="array" ref="M404:M406">G404:G406</f>
        <v>f</v>
      </c>
      <c r="U404" cm="1">
        <f t="array" ref="U404:U406">H404:H406</f>
        <v>102.25161799999999</v>
      </c>
      <c r="AC404" cm="1">
        <f t="array" ref="AC404:AC406">I404:I406</f>
        <v>502</v>
      </c>
    </row>
    <row r="405" spans="1:33" x14ac:dyDescent="0.25">
      <c r="A405" t="s">
        <v>809</v>
      </c>
      <c r="B405" s="5" t="s">
        <v>1350</v>
      </c>
      <c r="C405" s="5" t="s">
        <v>1347</v>
      </c>
      <c r="D405" t="s">
        <v>801</v>
      </c>
      <c r="E405">
        <v>130</v>
      </c>
      <c r="F405" t="s">
        <v>810</v>
      </c>
      <c r="G405" s="2" t="s">
        <v>223</v>
      </c>
      <c r="H405">
        <v>68.421999</v>
      </c>
      <c r="I405">
        <v>334</v>
      </c>
      <c r="J405" t="s">
        <v>1287</v>
      </c>
      <c r="K405" t="s">
        <v>1327</v>
      </c>
      <c r="M405" t="str">
        <v>f</v>
      </c>
      <c r="U405">
        <v>68.421999</v>
      </c>
      <c r="AC405">
        <v>334</v>
      </c>
    </row>
    <row r="406" spans="1:33" x14ac:dyDescent="0.25">
      <c r="A406" t="s">
        <v>811</v>
      </c>
      <c r="B406" s="5" t="s">
        <v>1350</v>
      </c>
      <c r="C406" s="5" t="s">
        <v>1347</v>
      </c>
      <c r="D406" t="s">
        <v>801</v>
      </c>
      <c r="E406">
        <v>130</v>
      </c>
      <c r="F406" t="s">
        <v>812</v>
      </c>
      <c r="G406" s="2" t="s">
        <v>223</v>
      </c>
      <c r="H406">
        <v>81.901939999999996</v>
      </c>
      <c r="I406">
        <v>395</v>
      </c>
      <c r="J406" t="s">
        <v>1287</v>
      </c>
      <c r="K406" t="s">
        <v>1327</v>
      </c>
      <c r="M406" t="str">
        <v>f</v>
      </c>
      <c r="U406">
        <v>81.901939999999996</v>
      </c>
      <c r="AC406">
        <v>395</v>
      </c>
    </row>
    <row r="407" spans="1:33" x14ac:dyDescent="0.25">
      <c r="A407" t="s">
        <v>813</v>
      </c>
      <c r="B407" s="5" t="s">
        <v>1350</v>
      </c>
      <c r="C407" s="5" t="s">
        <v>1347</v>
      </c>
      <c r="D407" t="s">
        <v>801</v>
      </c>
      <c r="E407">
        <v>185</v>
      </c>
      <c r="F407" t="s">
        <v>814</v>
      </c>
      <c r="G407" s="2" t="s">
        <v>223</v>
      </c>
      <c r="H407">
        <v>85.142054999999999</v>
      </c>
      <c r="I407">
        <v>434</v>
      </c>
      <c r="J407" t="s">
        <v>1287</v>
      </c>
      <c r="K407" t="s">
        <v>1327</v>
      </c>
      <c r="N407" t="str" cm="1">
        <f t="array" ref="N407:N409">G407:G409</f>
        <v>f</v>
      </c>
      <c r="V407" cm="1">
        <f t="array" ref="V407:V409">H407:H409</f>
        <v>85.142054999999999</v>
      </c>
      <c r="AD407" cm="1">
        <f t="array" ref="AD407:AD409">I407:I409</f>
        <v>434</v>
      </c>
    </row>
    <row r="408" spans="1:33" x14ac:dyDescent="0.25">
      <c r="A408" t="s">
        <v>815</v>
      </c>
      <c r="B408" s="5" t="s">
        <v>1350</v>
      </c>
      <c r="C408" s="5" t="s">
        <v>1347</v>
      </c>
      <c r="D408" t="s">
        <v>801</v>
      </c>
      <c r="E408">
        <v>185</v>
      </c>
      <c r="F408" t="s">
        <v>816</v>
      </c>
      <c r="G408" s="2" t="s">
        <v>222</v>
      </c>
      <c r="H408">
        <v>96.974135000000004</v>
      </c>
      <c r="I408">
        <v>484</v>
      </c>
      <c r="J408" t="s">
        <v>1287</v>
      </c>
      <c r="K408" t="s">
        <v>1327</v>
      </c>
      <c r="N408" t="str">
        <v>t</v>
      </c>
      <c r="V408">
        <v>96.974135000000004</v>
      </c>
      <c r="AD408">
        <v>484</v>
      </c>
    </row>
    <row r="409" spans="1:33" x14ac:dyDescent="0.25">
      <c r="A409" t="s">
        <v>817</v>
      </c>
      <c r="B409" s="5" t="s">
        <v>1350</v>
      </c>
      <c r="C409" s="5" t="s">
        <v>1347</v>
      </c>
      <c r="D409" t="s">
        <v>801</v>
      </c>
      <c r="E409">
        <v>185</v>
      </c>
      <c r="F409" t="s">
        <v>818</v>
      </c>
      <c r="G409" s="2" t="s">
        <v>223</v>
      </c>
      <c r="H409">
        <v>79.026888999999997</v>
      </c>
      <c r="I409">
        <v>393</v>
      </c>
      <c r="J409" t="s">
        <v>1287</v>
      </c>
      <c r="K409" t="s">
        <v>1327</v>
      </c>
      <c r="N409" t="str">
        <v>f</v>
      </c>
      <c r="V409">
        <v>79.026888999999997</v>
      </c>
      <c r="AD409">
        <v>393</v>
      </c>
    </row>
    <row r="410" spans="1:33" x14ac:dyDescent="0.25">
      <c r="A410" t="s">
        <v>819</v>
      </c>
      <c r="B410" s="5" t="s">
        <v>1350</v>
      </c>
      <c r="C410" s="5" t="s">
        <v>1347</v>
      </c>
      <c r="D410" t="s">
        <v>801</v>
      </c>
      <c r="E410">
        <v>158</v>
      </c>
      <c r="F410" t="s">
        <v>820</v>
      </c>
      <c r="G410" s="2" t="s">
        <v>223</v>
      </c>
      <c r="H410">
        <v>78.046908000000002</v>
      </c>
      <c r="I410">
        <v>389</v>
      </c>
      <c r="J410" t="s">
        <v>1287</v>
      </c>
      <c r="K410" t="s">
        <v>1327</v>
      </c>
      <c r="O410" t="str" cm="1">
        <f t="array" ref="O410:O412">G410:G412</f>
        <v>f</v>
      </c>
      <c r="W410" cm="1">
        <f t="array" ref="W410:W412">H410:H412</f>
        <v>78.046908000000002</v>
      </c>
      <c r="AE410" cm="1">
        <f t="array" ref="AE410:AE412">I410:I412</f>
        <v>389</v>
      </c>
    </row>
    <row r="411" spans="1:33" x14ac:dyDescent="0.25">
      <c r="A411" t="s">
        <v>821</v>
      </c>
      <c r="B411" s="5" t="s">
        <v>1350</v>
      </c>
      <c r="C411" s="5" t="s">
        <v>1347</v>
      </c>
      <c r="D411" t="s">
        <v>801</v>
      </c>
      <c r="E411">
        <v>158</v>
      </c>
      <c r="F411" t="s">
        <v>822</v>
      </c>
      <c r="G411" s="2" t="s">
        <v>223</v>
      </c>
      <c r="H411">
        <v>48.298203000000001</v>
      </c>
      <c r="I411">
        <v>247</v>
      </c>
      <c r="J411" t="s">
        <v>1287</v>
      </c>
      <c r="K411" t="s">
        <v>1327</v>
      </c>
      <c r="O411" t="str">
        <v>f</v>
      </c>
      <c r="W411">
        <v>48.298203000000001</v>
      </c>
      <c r="AE411">
        <v>247</v>
      </c>
    </row>
    <row r="412" spans="1:33" x14ac:dyDescent="0.25">
      <c r="A412" t="s">
        <v>823</v>
      </c>
      <c r="B412" s="5" t="s">
        <v>1350</v>
      </c>
      <c r="C412" s="5" t="s">
        <v>1347</v>
      </c>
      <c r="D412" t="s">
        <v>801</v>
      </c>
      <c r="E412">
        <v>158</v>
      </c>
      <c r="F412" t="s">
        <v>824</v>
      </c>
      <c r="G412" s="2" t="s">
        <v>223</v>
      </c>
      <c r="H412">
        <v>93.135305000000002</v>
      </c>
      <c r="I412">
        <v>448</v>
      </c>
      <c r="J412" t="s">
        <v>1287</v>
      </c>
      <c r="K412" t="s">
        <v>1327</v>
      </c>
      <c r="O412" t="str">
        <v>f</v>
      </c>
      <c r="W412">
        <v>93.135305000000002</v>
      </c>
      <c r="AE412">
        <v>448</v>
      </c>
    </row>
    <row r="413" spans="1:33" x14ac:dyDescent="0.25">
      <c r="A413" s="1" t="s">
        <v>825</v>
      </c>
      <c r="B413" s="5" t="s">
        <v>1350</v>
      </c>
      <c r="C413" s="5" t="s">
        <v>1347</v>
      </c>
      <c r="D413" t="s">
        <v>801</v>
      </c>
      <c r="E413">
        <v>156</v>
      </c>
      <c r="F413" t="s">
        <v>826</v>
      </c>
      <c r="G413" s="2" t="s">
        <v>223</v>
      </c>
      <c r="H413">
        <v>59.463723999999999</v>
      </c>
      <c r="I413">
        <v>300</v>
      </c>
      <c r="J413" t="s">
        <v>1287</v>
      </c>
      <c r="K413" t="s">
        <v>1327</v>
      </c>
      <c r="P413" t="str" cm="1">
        <f t="array" ref="P413:P415">G413:G415</f>
        <v>f</v>
      </c>
      <c r="X413" cm="1">
        <f t="array" ref="X413:X415">H413:H415</f>
        <v>59.463723999999999</v>
      </c>
      <c r="AF413" cm="1">
        <f t="array" ref="AF413:AF415">I413:I415</f>
        <v>300</v>
      </c>
    </row>
    <row r="414" spans="1:33" x14ac:dyDescent="0.25">
      <c r="A414" s="1" t="s">
        <v>827</v>
      </c>
      <c r="B414" s="5" t="s">
        <v>1350</v>
      </c>
      <c r="C414" s="5" t="s">
        <v>1347</v>
      </c>
      <c r="D414" t="s">
        <v>801</v>
      </c>
      <c r="E414">
        <v>156</v>
      </c>
      <c r="F414" t="s">
        <v>828</v>
      </c>
      <c r="G414" s="2" t="s">
        <v>223</v>
      </c>
      <c r="H414">
        <v>61.274943999999998</v>
      </c>
      <c r="I414">
        <v>314</v>
      </c>
      <c r="J414" t="s">
        <v>1287</v>
      </c>
      <c r="K414" t="s">
        <v>1327</v>
      </c>
      <c r="P414" t="str">
        <v>f</v>
      </c>
      <c r="X414">
        <v>61.274943999999998</v>
      </c>
      <c r="AF414">
        <v>314</v>
      </c>
    </row>
    <row r="415" spans="1:33" x14ac:dyDescent="0.25">
      <c r="A415" s="1" t="s">
        <v>829</v>
      </c>
      <c r="B415" s="5" t="s">
        <v>1350</v>
      </c>
      <c r="C415" s="5" t="s">
        <v>1347</v>
      </c>
      <c r="D415" t="s">
        <v>801</v>
      </c>
      <c r="E415">
        <v>156</v>
      </c>
      <c r="F415" t="s">
        <v>830</v>
      </c>
      <c r="G415" s="2" t="s">
        <v>222</v>
      </c>
      <c r="H415">
        <v>55.345455000000001</v>
      </c>
      <c r="I415">
        <v>280</v>
      </c>
      <c r="J415" t="s">
        <v>1287</v>
      </c>
      <c r="K415" t="s">
        <v>1327</v>
      </c>
      <c r="P415" t="str">
        <v>t</v>
      </c>
      <c r="X415">
        <v>55.345455000000001</v>
      </c>
      <c r="AF415">
        <v>280</v>
      </c>
    </row>
    <row r="416" spans="1:33" x14ac:dyDescent="0.25">
      <c r="A416" t="s">
        <v>831</v>
      </c>
      <c r="B416" s="5" t="s">
        <v>1350</v>
      </c>
      <c r="C416" s="5" t="s">
        <v>1347</v>
      </c>
      <c r="D416" t="s">
        <v>801</v>
      </c>
      <c r="E416">
        <v>157</v>
      </c>
      <c r="F416" t="s">
        <v>832</v>
      </c>
      <c r="G416" s="2" t="s">
        <v>223</v>
      </c>
      <c r="H416">
        <v>56.791069999999998</v>
      </c>
      <c r="I416">
        <v>289</v>
      </c>
      <c r="J416" t="s">
        <v>1287</v>
      </c>
      <c r="K416" t="s">
        <v>1327</v>
      </c>
      <c r="Q416" t="str" cm="1">
        <f t="array" ref="Q416:Q418">G416:G418</f>
        <v>f</v>
      </c>
      <c r="Y416" cm="1">
        <f t="array" ref="Y416:Y418">H416:H418</f>
        <v>56.791069999999998</v>
      </c>
      <c r="AG416" cm="1">
        <f t="array" ref="AG416:AG418">I416:I418</f>
        <v>289</v>
      </c>
    </row>
    <row r="417" spans="1:34" x14ac:dyDescent="0.25">
      <c r="A417" t="s">
        <v>833</v>
      </c>
      <c r="B417" s="5" t="s">
        <v>1350</v>
      </c>
      <c r="C417" s="5" t="s">
        <v>1347</v>
      </c>
      <c r="D417" t="s">
        <v>801</v>
      </c>
      <c r="E417">
        <v>157</v>
      </c>
      <c r="F417" t="s">
        <v>834</v>
      </c>
      <c r="G417" s="2" t="s">
        <v>223</v>
      </c>
      <c r="H417">
        <v>99.015901999999997</v>
      </c>
      <c r="I417">
        <v>502</v>
      </c>
      <c r="J417" t="s">
        <v>1287</v>
      </c>
      <c r="K417" t="s">
        <v>1327</v>
      </c>
      <c r="Q417" t="str">
        <v>f</v>
      </c>
      <c r="Y417">
        <v>99.015901999999997</v>
      </c>
      <c r="AG417">
        <v>502</v>
      </c>
    </row>
    <row r="418" spans="1:34" x14ac:dyDescent="0.25">
      <c r="A418" t="s">
        <v>835</v>
      </c>
      <c r="B418" s="5" t="s">
        <v>1350</v>
      </c>
      <c r="C418" s="5" t="s">
        <v>1347</v>
      </c>
      <c r="D418" t="s">
        <v>801</v>
      </c>
      <c r="E418">
        <v>157</v>
      </c>
      <c r="F418" t="s">
        <v>836</v>
      </c>
      <c r="G418" s="2" t="s">
        <v>223</v>
      </c>
      <c r="H418">
        <v>105.84276199999999</v>
      </c>
      <c r="I418">
        <v>501</v>
      </c>
      <c r="J418" t="s">
        <v>1287</v>
      </c>
      <c r="K418" t="s">
        <v>1327</v>
      </c>
      <c r="Q418" t="str">
        <v>f</v>
      </c>
      <c r="Y418">
        <v>105.84276199999999</v>
      </c>
      <c r="AG418">
        <v>501</v>
      </c>
    </row>
    <row r="419" spans="1:34" x14ac:dyDescent="0.25">
      <c r="A419" t="s">
        <v>837</v>
      </c>
      <c r="B419" s="5" t="s">
        <v>1350</v>
      </c>
      <c r="C419" s="5" t="s">
        <v>1347</v>
      </c>
      <c r="D419" t="s">
        <v>801</v>
      </c>
      <c r="E419">
        <v>161</v>
      </c>
      <c r="F419" t="s">
        <v>838</v>
      </c>
      <c r="G419" s="2" t="s">
        <v>223</v>
      </c>
      <c r="H419">
        <v>104.004497</v>
      </c>
      <c r="I419">
        <v>502</v>
      </c>
      <c r="J419" t="s">
        <v>1287</v>
      </c>
      <c r="K419" t="s">
        <v>1327</v>
      </c>
      <c r="R419" t="str" cm="1">
        <f t="array" ref="R419:R421">G419:G421</f>
        <v>f</v>
      </c>
      <c r="Z419" cm="1">
        <f t="array" ref="Z419:Z421">H419:H421</f>
        <v>104.004497</v>
      </c>
      <c r="AH419" cm="1">
        <f t="array" ref="AH419:AH421">I419:I421</f>
        <v>502</v>
      </c>
    </row>
    <row r="420" spans="1:34" x14ac:dyDescent="0.25">
      <c r="A420" t="s">
        <v>839</v>
      </c>
      <c r="B420" s="5" t="s">
        <v>1350</v>
      </c>
      <c r="C420" s="5" t="s">
        <v>1347</v>
      </c>
      <c r="D420" t="s">
        <v>801</v>
      </c>
      <c r="E420">
        <v>161</v>
      </c>
      <c r="F420" t="s">
        <v>840</v>
      </c>
      <c r="G420" s="2" t="s">
        <v>223</v>
      </c>
      <c r="H420">
        <v>31.839036</v>
      </c>
      <c r="I420">
        <v>159</v>
      </c>
      <c r="J420" t="s">
        <v>1287</v>
      </c>
      <c r="K420" t="s">
        <v>1327</v>
      </c>
      <c r="R420" t="str">
        <v>f</v>
      </c>
      <c r="Z420">
        <v>31.839036</v>
      </c>
      <c r="AH420">
        <v>159</v>
      </c>
    </row>
    <row r="421" spans="1:34" s="3" customFormat="1" x14ac:dyDescent="0.25">
      <c r="A421" s="3" t="s">
        <v>841</v>
      </c>
      <c r="B421" s="5" t="s">
        <v>1350</v>
      </c>
      <c r="C421" s="5" t="s">
        <v>1347</v>
      </c>
      <c r="D421" s="3" t="s">
        <v>801</v>
      </c>
      <c r="E421" s="3">
        <v>161</v>
      </c>
      <c r="F421" s="3" t="s">
        <v>842</v>
      </c>
      <c r="G421" s="4" t="s">
        <v>223</v>
      </c>
      <c r="H421" s="3">
        <v>59.333973</v>
      </c>
      <c r="I421" s="3">
        <v>284</v>
      </c>
      <c r="J421" s="3" t="s">
        <v>1287</v>
      </c>
      <c r="K421" s="3" t="s">
        <v>1327</v>
      </c>
      <c r="R421" s="3" t="str">
        <v>f</v>
      </c>
      <c r="Z421" s="3">
        <v>59.333973</v>
      </c>
      <c r="AH421" s="3">
        <v>284</v>
      </c>
    </row>
    <row r="422" spans="1:34" s="5" customFormat="1" x14ac:dyDescent="0.25">
      <c r="A422" s="5" t="s">
        <v>843</v>
      </c>
      <c r="B422" s="5" t="s">
        <v>1349</v>
      </c>
      <c r="C422" s="5" t="s">
        <v>1345</v>
      </c>
      <c r="D422" s="5" t="s">
        <v>844</v>
      </c>
      <c r="E422" s="5">
        <v>92</v>
      </c>
      <c r="F422" s="5" t="s">
        <v>845</v>
      </c>
      <c r="G422" s="6" t="s">
        <v>223</v>
      </c>
      <c r="H422" s="5">
        <v>4.5583330000000002</v>
      </c>
      <c r="I422" s="5">
        <v>26</v>
      </c>
      <c r="J422" s="5" t="s">
        <v>1288</v>
      </c>
      <c r="K422" s="5" t="s">
        <v>1327</v>
      </c>
      <c r="L422" s="5" t="str" cm="1">
        <f t="array" ref="L422:L424">G422:G424</f>
        <v>f</v>
      </c>
      <c r="T422" s="5" cm="1">
        <f t="array" ref="T422:T424">H422:H424</f>
        <v>4.5583330000000002</v>
      </c>
      <c r="AB422" s="5" cm="1">
        <f t="array" ref="AB422:AB424">I422:I424</f>
        <v>26</v>
      </c>
    </row>
    <row r="423" spans="1:34" x14ac:dyDescent="0.25">
      <c r="A423" t="s">
        <v>846</v>
      </c>
      <c r="B423" s="5" t="s">
        <v>1349</v>
      </c>
      <c r="C423" s="5" t="s">
        <v>1345</v>
      </c>
      <c r="D423" t="s">
        <v>844</v>
      </c>
      <c r="E423">
        <v>92</v>
      </c>
      <c r="F423" t="s">
        <v>847</v>
      </c>
      <c r="G423" s="2" t="s">
        <v>222</v>
      </c>
      <c r="H423">
        <v>2.3545419999999999</v>
      </c>
      <c r="I423">
        <v>15</v>
      </c>
      <c r="J423" t="s">
        <v>1288</v>
      </c>
      <c r="K423" t="s">
        <v>1327</v>
      </c>
      <c r="L423" t="str">
        <v>t</v>
      </c>
      <c r="T423">
        <v>2.3545419999999999</v>
      </c>
      <c r="AB423">
        <v>15</v>
      </c>
    </row>
    <row r="424" spans="1:34" x14ac:dyDescent="0.25">
      <c r="A424" t="s">
        <v>848</v>
      </c>
      <c r="B424" s="5" t="s">
        <v>1349</v>
      </c>
      <c r="C424" s="5" t="s">
        <v>1345</v>
      </c>
      <c r="D424" t="s">
        <v>844</v>
      </c>
      <c r="E424">
        <v>92</v>
      </c>
      <c r="F424" t="s">
        <v>849</v>
      </c>
      <c r="G424" s="2" t="s">
        <v>223</v>
      </c>
      <c r="H424">
        <v>2.1039859999999999</v>
      </c>
      <c r="I424">
        <v>14</v>
      </c>
      <c r="J424" t="s">
        <v>1288</v>
      </c>
      <c r="K424" t="s">
        <v>1327</v>
      </c>
      <c r="L424" t="str">
        <v>f</v>
      </c>
      <c r="T424">
        <v>2.1039859999999999</v>
      </c>
      <c r="AB424">
        <v>14</v>
      </c>
    </row>
    <row r="425" spans="1:34" x14ac:dyDescent="0.25">
      <c r="A425" t="s">
        <v>850</v>
      </c>
      <c r="B425" s="5" t="s">
        <v>1349</v>
      </c>
      <c r="C425" s="5" t="s">
        <v>1345</v>
      </c>
      <c r="D425" t="s">
        <v>844</v>
      </c>
      <c r="E425">
        <v>102</v>
      </c>
      <c r="F425" t="s">
        <v>851</v>
      </c>
      <c r="G425" s="2" t="s">
        <v>223</v>
      </c>
      <c r="H425">
        <v>44.740616000000003</v>
      </c>
      <c r="I425">
        <v>270</v>
      </c>
      <c r="J425" t="s">
        <v>1288</v>
      </c>
      <c r="K425" t="s">
        <v>1327</v>
      </c>
      <c r="M425" t="str" cm="1">
        <f t="array" ref="M425:M427">G425:G427</f>
        <v>f</v>
      </c>
      <c r="U425" cm="1">
        <f t="array" ref="U425:U427">H425:H427</f>
        <v>44.740616000000003</v>
      </c>
      <c r="AC425" cm="1">
        <f t="array" ref="AC425:AC427">I425:I427</f>
        <v>270</v>
      </c>
    </row>
    <row r="426" spans="1:34" x14ac:dyDescent="0.25">
      <c r="A426" t="s">
        <v>852</v>
      </c>
      <c r="B426" s="5" t="s">
        <v>1349</v>
      </c>
      <c r="C426" s="5" t="s">
        <v>1345</v>
      </c>
      <c r="D426" t="s">
        <v>844</v>
      </c>
      <c r="E426">
        <v>102</v>
      </c>
      <c r="F426" t="s">
        <v>853</v>
      </c>
      <c r="G426" s="2" t="s">
        <v>223</v>
      </c>
      <c r="H426">
        <v>51.735672999999998</v>
      </c>
      <c r="I426">
        <v>312</v>
      </c>
      <c r="J426" t="s">
        <v>1288</v>
      </c>
      <c r="K426" t="s">
        <v>1327</v>
      </c>
      <c r="M426" t="str">
        <v>f</v>
      </c>
      <c r="U426">
        <v>51.735672999999998</v>
      </c>
      <c r="AC426">
        <v>312</v>
      </c>
    </row>
    <row r="427" spans="1:34" x14ac:dyDescent="0.25">
      <c r="A427" t="s">
        <v>854</v>
      </c>
      <c r="B427" s="5" t="s">
        <v>1349</v>
      </c>
      <c r="C427" s="5" t="s">
        <v>1345</v>
      </c>
      <c r="D427" t="s">
        <v>844</v>
      </c>
      <c r="E427">
        <v>102</v>
      </c>
      <c r="F427" t="s">
        <v>855</v>
      </c>
      <c r="G427" s="2" t="s">
        <v>223</v>
      </c>
      <c r="H427">
        <v>55.211255999999999</v>
      </c>
      <c r="I427">
        <v>332</v>
      </c>
      <c r="J427" t="s">
        <v>1288</v>
      </c>
      <c r="K427" t="s">
        <v>1327</v>
      </c>
      <c r="M427" t="str">
        <v>f</v>
      </c>
      <c r="U427">
        <v>55.211255999999999</v>
      </c>
      <c r="AC427">
        <v>332</v>
      </c>
    </row>
    <row r="428" spans="1:34" x14ac:dyDescent="0.25">
      <c r="A428" t="s">
        <v>856</v>
      </c>
      <c r="B428" s="5" t="s">
        <v>1349</v>
      </c>
      <c r="C428" s="5" t="s">
        <v>1345</v>
      </c>
      <c r="D428" t="s">
        <v>844</v>
      </c>
      <c r="E428">
        <v>157</v>
      </c>
      <c r="F428" t="s">
        <v>857</v>
      </c>
      <c r="G428" s="2" t="s">
        <v>223</v>
      </c>
      <c r="H428">
        <v>31.069842999999999</v>
      </c>
      <c r="I428">
        <v>192</v>
      </c>
      <c r="J428" t="s">
        <v>1288</v>
      </c>
      <c r="K428" t="s">
        <v>1327</v>
      </c>
      <c r="N428" t="str" cm="1">
        <f t="array" ref="N428:N430">G428:G430</f>
        <v>f</v>
      </c>
      <c r="V428" cm="1">
        <f t="array" ref="V428:V430">H428:H430</f>
        <v>31.069842999999999</v>
      </c>
      <c r="AD428" cm="1">
        <f t="array" ref="AD428:AD430">I428:I430</f>
        <v>192</v>
      </c>
    </row>
    <row r="429" spans="1:34" x14ac:dyDescent="0.25">
      <c r="A429" t="s">
        <v>858</v>
      </c>
      <c r="B429" s="5" t="s">
        <v>1349</v>
      </c>
      <c r="C429" s="5" t="s">
        <v>1345</v>
      </c>
      <c r="D429" t="s">
        <v>844</v>
      </c>
      <c r="E429">
        <v>157</v>
      </c>
      <c r="F429" t="s">
        <v>859</v>
      </c>
      <c r="G429" s="2" t="s">
        <v>223</v>
      </c>
      <c r="H429">
        <v>29.328522</v>
      </c>
      <c r="I429">
        <v>177</v>
      </c>
      <c r="J429" t="s">
        <v>1288</v>
      </c>
      <c r="K429" t="s">
        <v>1327</v>
      </c>
      <c r="N429" t="str">
        <v>f</v>
      </c>
      <c r="V429">
        <v>29.328522</v>
      </c>
      <c r="AD429">
        <v>177</v>
      </c>
    </row>
    <row r="430" spans="1:34" x14ac:dyDescent="0.25">
      <c r="A430" t="s">
        <v>860</v>
      </c>
      <c r="B430" s="5" t="s">
        <v>1349</v>
      </c>
      <c r="C430" s="5" t="s">
        <v>1345</v>
      </c>
      <c r="D430" t="s">
        <v>844</v>
      </c>
      <c r="E430">
        <v>157</v>
      </c>
      <c r="F430" t="s">
        <v>861</v>
      </c>
      <c r="G430" s="2" t="s">
        <v>222</v>
      </c>
      <c r="H430">
        <v>50.817231999999997</v>
      </c>
      <c r="I430">
        <v>268</v>
      </c>
      <c r="J430" t="s">
        <v>1288</v>
      </c>
      <c r="K430" t="s">
        <v>1327</v>
      </c>
      <c r="N430" t="str">
        <v>t</v>
      </c>
      <c r="V430">
        <v>50.817231999999997</v>
      </c>
      <c r="AD430">
        <v>268</v>
      </c>
    </row>
    <row r="431" spans="1:34" x14ac:dyDescent="0.25">
      <c r="A431" t="s">
        <v>862</v>
      </c>
      <c r="B431" s="5" t="s">
        <v>1349</v>
      </c>
      <c r="C431" s="5" t="s">
        <v>1345</v>
      </c>
      <c r="D431" t="s">
        <v>844</v>
      </c>
      <c r="E431">
        <v>130</v>
      </c>
      <c r="F431" t="s">
        <v>863</v>
      </c>
      <c r="G431" s="2" t="s">
        <v>223</v>
      </c>
      <c r="H431">
        <v>69.205635999999998</v>
      </c>
      <c r="I431">
        <v>349</v>
      </c>
      <c r="J431" t="s">
        <v>1288</v>
      </c>
      <c r="K431" t="s">
        <v>1327</v>
      </c>
      <c r="O431" t="str" cm="1">
        <f t="array" ref="O431:O433">G431:G433</f>
        <v>f</v>
      </c>
      <c r="W431" cm="1">
        <f t="array" ref="W431:W433">H431:H433</f>
        <v>69.205635999999998</v>
      </c>
      <c r="AE431" cm="1">
        <f t="array" ref="AE431:AE433">I431:I433</f>
        <v>349</v>
      </c>
    </row>
    <row r="432" spans="1:34" x14ac:dyDescent="0.25">
      <c r="A432" t="s">
        <v>864</v>
      </c>
      <c r="B432" s="5" t="s">
        <v>1349</v>
      </c>
      <c r="C432" s="5" t="s">
        <v>1345</v>
      </c>
      <c r="D432" t="s">
        <v>844</v>
      </c>
      <c r="E432">
        <v>130</v>
      </c>
      <c r="F432" t="s">
        <v>865</v>
      </c>
      <c r="G432" s="2" t="s">
        <v>223</v>
      </c>
      <c r="H432">
        <v>39.556868999999999</v>
      </c>
      <c r="I432">
        <v>191</v>
      </c>
      <c r="J432" t="s">
        <v>1288</v>
      </c>
      <c r="K432" t="s">
        <v>1327</v>
      </c>
      <c r="O432" t="str">
        <v>f</v>
      </c>
      <c r="W432">
        <v>39.556868999999999</v>
      </c>
      <c r="AE432">
        <v>191</v>
      </c>
    </row>
    <row r="433" spans="1:34" x14ac:dyDescent="0.25">
      <c r="A433" t="s">
        <v>866</v>
      </c>
      <c r="B433" s="5" t="s">
        <v>1349</v>
      </c>
      <c r="C433" s="5" t="s">
        <v>1345</v>
      </c>
      <c r="D433" t="s">
        <v>844</v>
      </c>
      <c r="E433">
        <v>130</v>
      </c>
      <c r="F433" t="s">
        <v>867</v>
      </c>
      <c r="G433" s="2" t="s">
        <v>222</v>
      </c>
      <c r="H433">
        <v>76.062774000000005</v>
      </c>
      <c r="I433">
        <v>368</v>
      </c>
      <c r="J433" t="s">
        <v>1288</v>
      </c>
      <c r="K433" t="s">
        <v>1327</v>
      </c>
      <c r="O433" t="str">
        <v>t</v>
      </c>
      <c r="W433">
        <v>76.062774000000005</v>
      </c>
      <c r="AE433">
        <v>368</v>
      </c>
    </row>
    <row r="434" spans="1:34" x14ac:dyDescent="0.25">
      <c r="A434" s="1" t="s">
        <v>868</v>
      </c>
      <c r="B434" s="5" t="s">
        <v>1349</v>
      </c>
      <c r="C434" s="5" t="s">
        <v>1345</v>
      </c>
      <c r="D434" t="s">
        <v>844</v>
      </c>
      <c r="E434">
        <v>128</v>
      </c>
      <c r="F434" t="s">
        <v>869</v>
      </c>
      <c r="G434" s="2" t="s">
        <v>223</v>
      </c>
      <c r="H434">
        <v>84.877846000000005</v>
      </c>
      <c r="I434">
        <v>412</v>
      </c>
      <c r="J434" t="s">
        <v>1288</v>
      </c>
      <c r="K434" t="s">
        <v>1327</v>
      </c>
      <c r="P434" t="str" cm="1">
        <f t="array" ref="P434:P436">G434:G436</f>
        <v>f</v>
      </c>
      <c r="X434" cm="1">
        <f t="array" ref="X434:X436">H434:H436</f>
        <v>84.877846000000005</v>
      </c>
      <c r="AF434" cm="1">
        <f t="array" ref="AF434:AF436">I434:I436</f>
        <v>412</v>
      </c>
    </row>
    <row r="435" spans="1:34" x14ac:dyDescent="0.25">
      <c r="A435" s="1" t="s">
        <v>870</v>
      </c>
      <c r="B435" s="5" t="s">
        <v>1349</v>
      </c>
      <c r="C435" s="5" t="s">
        <v>1345</v>
      </c>
      <c r="D435" t="s">
        <v>844</v>
      </c>
      <c r="E435">
        <v>128</v>
      </c>
      <c r="F435" t="s">
        <v>871</v>
      </c>
      <c r="G435" s="2" t="s">
        <v>222</v>
      </c>
      <c r="H435">
        <v>46.325096000000002</v>
      </c>
      <c r="I435">
        <v>232</v>
      </c>
      <c r="J435" t="s">
        <v>1288</v>
      </c>
      <c r="K435" t="s">
        <v>1327</v>
      </c>
      <c r="P435" t="str">
        <v>t</v>
      </c>
      <c r="X435">
        <v>46.325096000000002</v>
      </c>
      <c r="AF435">
        <v>232</v>
      </c>
    </row>
    <row r="436" spans="1:34" x14ac:dyDescent="0.25">
      <c r="A436" s="1" t="s">
        <v>872</v>
      </c>
      <c r="B436" s="5" t="s">
        <v>1349</v>
      </c>
      <c r="C436" s="5" t="s">
        <v>1345</v>
      </c>
      <c r="D436" t="s">
        <v>844</v>
      </c>
      <c r="E436">
        <v>128</v>
      </c>
      <c r="F436" t="s">
        <v>873</v>
      </c>
      <c r="G436" s="2" t="s">
        <v>223</v>
      </c>
      <c r="H436">
        <v>45.541857999999998</v>
      </c>
      <c r="I436">
        <v>219</v>
      </c>
      <c r="J436" t="s">
        <v>1288</v>
      </c>
      <c r="K436" t="s">
        <v>1327</v>
      </c>
      <c r="P436" t="str">
        <v>f</v>
      </c>
      <c r="X436">
        <v>45.541857999999998</v>
      </c>
      <c r="AF436">
        <v>219</v>
      </c>
    </row>
    <row r="437" spans="1:34" x14ac:dyDescent="0.25">
      <c r="A437" t="s">
        <v>874</v>
      </c>
      <c r="B437" s="5" t="s">
        <v>1349</v>
      </c>
      <c r="C437" s="5" t="s">
        <v>1345</v>
      </c>
      <c r="D437" t="s">
        <v>844</v>
      </c>
      <c r="E437">
        <v>129</v>
      </c>
      <c r="F437" t="s">
        <v>875</v>
      </c>
      <c r="G437" s="2" t="s">
        <v>223</v>
      </c>
      <c r="H437">
        <v>45.787886</v>
      </c>
      <c r="I437">
        <v>222</v>
      </c>
      <c r="J437" t="s">
        <v>1288</v>
      </c>
      <c r="K437" t="s">
        <v>1327</v>
      </c>
      <c r="Q437" t="str" cm="1">
        <f t="array" ref="Q437:Q439">G437:G439</f>
        <v>f</v>
      </c>
      <c r="Y437" cm="1">
        <f t="array" ref="Y437:Y439">H437:H439</f>
        <v>45.787886</v>
      </c>
      <c r="AG437" cm="1">
        <f t="array" ref="AG437:AG439">I437:I439</f>
        <v>222</v>
      </c>
    </row>
    <row r="438" spans="1:34" x14ac:dyDescent="0.25">
      <c r="A438" t="s">
        <v>876</v>
      </c>
      <c r="B438" s="5" t="s">
        <v>1349</v>
      </c>
      <c r="C438" s="5" t="s">
        <v>1345</v>
      </c>
      <c r="D438" t="s">
        <v>844</v>
      </c>
      <c r="E438">
        <v>129</v>
      </c>
      <c r="F438" t="s">
        <v>877</v>
      </c>
      <c r="G438" s="2" t="s">
        <v>223</v>
      </c>
      <c r="H438">
        <v>49.199097999999999</v>
      </c>
      <c r="I438">
        <v>251</v>
      </c>
      <c r="J438" t="s">
        <v>1288</v>
      </c>
      <c r="K438" t="s">
        <v>1327</v>
      </c>
      <c r="Q438" t="str">
        <v>f</v>
      </c>
      <c r="Y438">
        <v>49.199097999999999</v>
      </c>
      <c r="AG438">
        <v>251</v>
      </c>
    </row>
    <row r="439" spans="1:34" x14ac:dyDescent="0.25">
      <c r="A439" t="s">
        <v>878</v>
      </c>
      <c r="B439" s="5" t="s">
        <v>1349</v>
      </c>
      <c r="C439" s="5" t="s">
        <v>1345</v>
      </c>
      <c r="D439" t="s">
        <v>844</v>
      </c>
      <c r="E439">
        <v>129</v>
      </c>
      <c r="F439" t="s">
        <v>879</v>
      </c>
      <c r="G439" s="2" t="s">
        <v>223</v>
      </c>
      <c r="H439">
        <v>65.389880000000005</v>
      </c>
      <c r="I439">
        <v>314</v>
      </c>
      <c r="J439" t="s">
        <v>1288</v>
      </c>
      <c r="K439" t="s">
        <v>1327</v>
      </c>
      <c r="Q439" t="str">
        <v>f</v>
      </c>
      <c r="Y439">
        <v>65.389880000000005</v>
      </c>
      <c r="AG439">
        <v>314</v>
      </c>
    </row>
    <row r="440" spans="1:34" x14ac:dyDescent="0.25">
      <c r="A440" t="s">
        <v>880</v>
      </c>
      <c r="B440" s="5" t="s">
        <v>1349</v>
      </c>
      <c r="C440" s="5" t="s">
        <v>1345</v>
      </c>
      <c r="D440" t="s">
        <v>844</v>
      </c>
      <c r="E440">
        <v>133</v>
      </c>
      <c r="F440" t="s">
        <v>881</v>
      </c>
      <c r="G440" s="2" t="s">
        <v>223</v>
      </c>
      <c r="H440">
        <v>97.561338000000006</v>
      </c>
      <c r="I440">
        <v>441</v>
      </c>
      <c r="J440" t="s">
        <v>1288</v>
      </c>
      <c r="K440" t="s">
        <v>1327</v>
      </c>
      <c r="R440" t="str" cm="1">
        <f t="array" ref="R440:R442">G440:G442</f>
        <v>f</v>
      </c>
      <c r="Z440" cm="1">
        <f t="array" ref="Z440:Z442">H440:H442</f>
        <v>97.561338000000006</v>
      </c>
      <c r="AH440" cm="1">
        <f t="array" ref="AH440:AH442">I440:I442</f>
        <v>441</v>
      </c>
    </row>
    <row r="441" spans="1:34" x14ac:dyDescent="0.25">
      <c r="A441" t="s">
        <v>882</v>
      </c>
      <c r="B441" s="5" t="s">
        <v>1349</v>
      </c>
      <c r="C441" s="5" t="s">
        <v>1345</v>
      </c>
      <c r="D441" t="s">
        <v>844</v>
      </c>
      <c r="E441">
        <v>133</v>
      </c>
      <c r="F441" t="s">
        <v>883</v>
      </c>
      <c r="G441" s="2" t="s">
        <v>223</v>
      </c>
      <c r="H441">
        <v>91.421138999999997</v>
      </c>
      <c r="I441">
        <v>415</v>
      </c>
      <c r="J441" t="s">
        <v>1288</v>
      </c>
      <c r="K441" t="s">
        <v>1327</v>
      </c>
      <c r="R441" t="str">
        <v>f</v>
      </c>
      <c r="Z441">
        <v>91.421138999999997</v>
      </c>
      <c r="AH441">
        <v>415</v>
      </c>
    </row>
    <row r="442" spans="1:34" s="3" customFormat="1" x14ac:dyDescent="0.25">
      <c r="A442" s="3" t="s">
        <v>884</v>
      </c>
      <c r="B442" s="5" t="s">
        <v>1349</v>
      </c>
      <c r="C442" s="5" t="s">
        <v>1345</v>
      </c>
      <c r="D442" s="3" t="s">
        <v>844</v>
      </c>
      <c r="E442" s="3">
        <v>133</v>
      </c>
      <c r="F442" s="3" t="s">
        <v>885</v>
      </c>
      <c r="G442" s="4" t="s">
        <v>223</v>
      </c>
      <c r="H442" s="3">
        <v>118.31513200000001</v>
      </c>
      <c r="I442" s="3">
        <v>502</v>
      </c>
      <c r="J442" s="3" t="s">
        <v>1288</v>
      </c>
      <c r="K442" s="3" t="s">
        <v>1327</v>
      </c>
      <c r="R442" s="3" t="str">
        <v>f</v>
      </c>
      <c r="Z442" s="3">
        <v>118.31513200000001</v>
      </c>
      <c r="AH442" s="3">
        <v>502</v>
      </c>
    </row>
    <row r="443" spans="1:34" s="5" customFormat="1" x14ac:dyDescent="0.25">
      <c r="A443" s="5" t="s">
        <v>886</v>
      </c>
      <c r="B443" s="5" t="s">
        <v>1349</v>
      </c>
      <c r="C443" s="5" t="s">
        <v>1347</v>
      </c>
      <c r="D443" s="5" t="s">
        <v>887</v>
      </c>
      <c r="E443" s="5">
        <v>74</v>
      </c>
      <c r="F443" s="5" t="s">
        <v>888</v>
      </c>
      <c r="G443" s="6" t="s">
        <v>222</v>
      </c>
      <c r="H443" s="5">
        <v>3.6315879999999998</v>
      </c>
      <c r="I443" s="5">
        <v>17</v>
      </c>
      <c r="J443" s="5" t="s">
        <v>1289</v>
      </c>
      <c r="K443" s="5" t="s">
        <v>1327</v>
      </c>
      <c r="L443" s="5" t="str" cm="1">
        <f t="array" ref="L443:L445">G443:G445</f>
        <v>t</v>
      </c>
      <c r="T443" s="5" cm="1">
        <f t="array" ref="T443:T445">H443:H445</f>
        <v>3.6315879999999998</v>
      </c>
      <c r="AB443" s="5" cm="1">
        <f t="array" ref="AB443:AB445">I443:I445</f>
        <v>17</v>
      </c>
    </row>
    <row r="444" spans="1:34" x14ac:dyDescent="0.25">
      <c r="A444" t="s">
        <v>889</v>
      </c>
      <c r="B444" s="5" t="s">
        <v>1349</v>
      </c>
      <c r="C444" s="5" t="s">
        <v>1347</v>
      </c>
      <c r="D444" t="s">
        <v>887</v>
      </c>
      <c r="E444">
        <v>74</v>
      </c>
      <c r="F444" t="s">
        <v>890</v>
      </c>
      <c r="G444" s="2" t="s">
        <v>223</v>
      </c>
      <c r="H444">
        <v>2.9026200000000002</v>
      </c>
      <c r="I444">
        <v>16</v>
      </c>
      <c r="J444" t="s">
        <v>1289</v>
      </c>
      <c r="K444" t="s">
        <v>1327</v>
      </c>
      <c r="L444" t="str">
        <v>f</v>
      </c>
      <c r="T444">
        <v>2.9026200000000002</v>
      </c>
      <c r="AB444">
        <v>16</v>
      </c>
    </row>
    <row r="445" spans="1:34" x14ac:dyDescent="0.25">
      <c r="A445" t="s">
        <v>891</v>
      </c>
      <c r="B445" s="5" t="s">
        <v>1349</v>
      </c>
      <c r="C445" s="5" t="s">
        <v>1347</v>
      </c>
      <c r="D445" t="s">
        <v>887</v>
      </c>
      <c r="E445">
        <v>74</v>
      </c>
      <c r="F445" t="s">
        <v>892</v>
      </c>
      <c r="G445" s="2" t="s">
        <v>223</v>
      </c>
      <c r="H445">
        <v>7.1097950000000001</v>
      </c>
      <c r="I445">
        <v>33</v>
      </c>
      <c r="J445" t="s">
        <v>1289</v>
      </c>
      <c r="K445" t="s">
        <v>1327</v>
      </c>
      <c r="L445" t="str">
        <v>f</v>
      </c>
      <c r="T445">
        <v>7.1097950000000001</v>
      </c>
      <c r="AB445">
        <v>33</v>
      </c>
    </row>
    <row r="446" spans="1:34" x14ac:dyDescent="0.25">
      <c r="A446" t="s">
        <v>893</v>
      </c>
      <c r="B446" s="5" t="s">
        <v>1349</v>
      </c>
      <c r="C446" s="5" t="s">
        <v>1347</v>
      </c>
      <c r="D446" t="s">
        <v>887</v>
      </c>
      <c r="E446">
        <v>84</v>
      </c>
      <c r="F446" t="s">
        <v>894</v>
      </c>
      <c r="G446" s="2" t="s">
        <v>222</v>
      </c>
      <c r="H446">
        <v>72.512231</v>
      </c>
      <c r="I446">
        <v>344</v>
      </c>
      <c r="J446" t="s">
        <v>1289</v>
      </c>
      <c r="K446" t="s">
        <v>1327</v>
      </c>
      <c r="M446" t="str" cm="1">
        <f t="array" ref="M446:M448">G446:G448</f>
        <v>t</v>
      </c>
      <c r="U446" cm="1">
        <f t="array" ref="U446:U448">H446:H448</f>
        <v>72.512231</v>
      </c>
      <c r="AC446" cm="1">
        <f t="array" ref="AC446:AC448">I446:I448</f>
        <v>344</v>
      </c>
    </row>
    <row r="447" spans="1:34" x14ac:dyDescent="0.25">
      <c r="A447" t="s">
        <v>895</v>
      </c>
      <c r="B447" s="5" t="s">
        <v>1349</v>
      </c>
      <c r="C447" s="5" t="s">
        <v>1347</v>
      </c>
      <c r="D447" t="s">
        <v>887</v>
      </c>
      <c r="E447">
        <v>84</v>
      </c>
      <c r="F447" t="s">
        <v>896</v>
      </c>
      <c r="G447" s="2" t="s">
        <v>223</v>
      </c>
      <c r="H447">
        <v>95.522491000000002</v>
      </c>
      <c r="I447">
        <v>502</v>
      </c>
      <c r="J447" t="s">
        <v>1289</v>
      </c>
      <c r="K447" t="s">
        <v>1327</v>
      </c>
      <c r="M447" t="str">
        <v>f</v>
      </c>
      <c r="U447">
        <v>95.522491000000002</v>
      </c>
      <c r="AC447">
        <v>502</v>
      </c>
    </row>
    <row r="448" spans="1:34" x14ac:dyDescent="0.25">
      <c r="A448" t="s">
        <v>897</v>
      </c>
      <c r="B448" s="5" t="s">
        <v>1349</v>
      </c>
      <c r="C448" s="5" t="s">
        <v>1347</v>
      </c>
      <c r="D448" t="s">
        <v>887</v>
      </c>
      <c r="E448">
        <v>84</v>
      </c>
      <c r="F448" t="s">
        <v>898</v>
      </c>
      <c r="G448" s="2" t="s">
        <v>223</v>
      </c>
      <c r="H448">
        <v>94.699055000000001</v>
      </c>
      <c r="I448">
        <v>502</v>
      </c>
      <c r="J448" t="s">
        <v>1289</v>
      </c>
      <c r="K448" t="s">
        <v>1327</v>
      </c>
      <c r="M448" t="str">
        <v>f</v>
      </c>
      <c r="U448">
        <v>94.699055000000001</v>
      </c>
      <c r="AC448">
        <v>502</v>
      </c>
    </row>
    <row r="449" spans="1:34" x14ac:dyDescent="0.25">
      <c r="A449" t="s">
        <v>899</v>
      </c>
      <c r="B449" s="5" t="s">
        <v>1349</v>
      </c>
      <c r="C449" s="5" t="s">
        <v>1347</v>
      </c>
      <c r="D449" t="s">
        <v>887</v>
      </c>
      <c r="E449">
        <v>139</v>
      </c>
      <c r="F449" t="s">
        <v>900</v>
      </c>
      <c r="G449" s="2" t="s">
        <v>223</v>
      </c>
      <c r="H449">
        <v>31.987138999999999</v>
      </c>
      <c r="I449">
        <v>185</v>
      </c>
      <c r="J449" t="s">
        <v>1289</v>
      </c>
      <c r="K449" t="s">
        <v>1327</v>
      </c>
      <c r="N449" t="str" cm="1">
        <f t="array" ref="N449:N451">G449:G451</f>
        <v>f</v>
      </c>
      <c r="V449" cm="1">
        <f t="array" ref="V449:V451">H449:H451</f>
        <v>31.987138999999999</v>
      </c>
      <c r="AD449" cm="1">
        <f t="array" ref="AD449:AD451">I449:I451</f>
        <v>185</v>
      </c>
    </row>
    <row r="450" spans="1:34" x14ac:dyDescent="0.25">
      <c r="A450" t="s">
        <v>901</v>
      </c>
      <c r="B450" s="5" t="s">
        <v>1349</v>
      </c>
      <c r="C450" s="5" t="s">
        <v>1347</v>
      </c>
      <c r="D450" t="s">
        <v>887</v>
      </c>
      <c r="E450">
        <v>139</v>
      </c>
      <c r="F450" t="s">
        <v>902</v>
      </c>
      <c r="G450" s="2" t="s">
        <v>223</v>
      </c>
      <c r="H450">
        <v>48.808777999999997</v>
      </c>
      <c r="I450">
        <v>267</v>
      </c>
      <c r="J450" t="s">
        <v>1289</v>
      </c>
      <c r="K450" t="s">
        <v>1327</v>
      </c>
      <c r="N450" t="str">
        <v>f</v>
      </c>
      <c r="V450">
        <v>48.808777999999997</v>
      </c>
      <c r="AD450">
        <v>267</v>
      </c>
    </row>
    <row r="451" spans="1:34" x14ac:dyDescent="0.25">
      <c r="A451" t="s">
        <v>903</v>
      </c>
      <c r="B451" s="5" t="s">
        <v>1349</v>
      </c>
      <c r="C451" s="5" t="s">
        <v>1347</v>
      </c>
      <c r="D451" t="s">
        <v>887</v>
      </c>
      <c r="E451">
        <v>139</v>
      </c>
      <c r="F451" t="s">
        <v>904</v>
      </c>
      <c r="G451" s="2" t="s">
        <v>223</v>
      </c>
      <c r="H451">
        <v>45.305503000000002</v>
      </c>
      <c r="I451">
        <v>240</v>
      </c>
      <c r="J451" t="s">
        <v>1289</v>
      </c>
      <c r="K451" t="s">
        <v>1327</v>
      </c>
      <c r="N451" t="str">
        <v>f</v>
      </c>
      <c r="V451">
        <v>45.305503000000002</v>
      </c>
      <c r="AD451">
        <v>240</v>
      </c>
    </row>
    <row r="452" spans="1:34" x14ac:dyDescent="0.25">
      <c r="A452" t="s">
        <v>905</v>
      </c>
      <c r="B452" s="5" t="s">
        <v>1349</v>
      </c>
      <c r="C452" s="5" t="s">
        <v>1347</v>
      </c>
      <c r="D452" t="s">
        <v>887</v>
      </c>
      <c r="E452">
        <v>112</v>
      </c>
      <c r="F452" t="s">
        <v>906</v>
      </c>
      <c r="G452" s="2" t="s">
        <v>223</v>
      </c>
      <c r="H452">
        <v>41.929124999999999</v>
      </c>
      <c r="I452">
        <v>222</v>
      </c>
      <c r="J452" t="s">
        <v>1289</v>
      </c>
      <c r="K452" t="s">
        <v>1327</v>
      </c>
      <c r="O452" t="str" cm="1">
        <f t="array" ref="O452:O454">G452:G454</f>
        <v>f</v>
      </c>
      <c r="W452" cm="1">
        <f t="array" ref="W452:W454">H452:H454</f>
        <v>41.929124999999999</v>
      </c>
      <c r="AE452" cm="1">
        <f t="array" ref="AE452:AE454">I452:I454</f>
        <v>222</v>
      </c>
    </row>
    <row r="453" spans="1:34" x14ac:dyDescent="0.25">
      <c r="A453" t="s">
        <v>907</v>
      </c>
      <c r="B453" s="5" t="s">
        <v>1349</v>
      </c>
      <c r="C453" s="5" t="s">
        <v>1347</v>
      </c>
      <c r="D453" t="s">
        <v>887</v>
      </c>
      <c r="E453">
        <v>112</v>
      </c>
      <c r="F453" t="s">
        <v>908</v>
      </c>
      <c r="G453" s="2" t="s">
        <v>223</v>
      </c>
      <c r="H453">
        <v>44.821589000000003</v>
      </c>
      <c r="I453">
        <v>225</v>
      </c>
      <c r="J453" t="s">
        <v>1289</v>
      </c>
      <c r="K453" t="s">
        <v>1327</v>
      </c>
      <c r="O453" t="str">
        <v>f</v>
      </c>
      <c r="W453">
        <v>44.821589000000003</v>
      </c>
      <c r="AE453">
        <v>225</v>
      </c>
    </row>
    <row r="454" spans="1:34" x14ac:dyDescent="0.25">
      <c r="A454" t="s">
        <v>909</v>
      </c>
      <c r="B454" s="5" t="s">
        <v>1349</v>
      </c>
      <c r="C454" s="5" t="s">
        <v>1347</v>
      </c>
      <c r="D454" t="s">
        <v>887</v>
      </c>
      <c r="E454">
        <v>112</v>
      </c>
      <c r="F454" t="s">
        <v>910</v>
      </c>
      <c r="G454" s="2" t="s">
        <v>223</v>
      </c>
      <c r="H454">
        <v>61.516295</v>
      </c>
      <c r="I454">
        <v>301</v>
      </c>
      <c r="J454" t="s">
        <v>1289</v>
      </c>
      <c r="K454" t="s">
        <v>1327</v>
      </c>
      <c r="O454" t="str">
        <v>f</v>
      </c>
      <c r="W454">
        <v>61.516295</v>
      </c>
      <c r="AE454">
        <v>301</v>
      </c>
    </row>
    <row r="455" spans="1:34" x14ac:dyDescent="0.25">
      <c r="A455" s="1" t="s">
        <v>911</v>
      </c>
      <c r="B455" s="5" t="s">
        <v>1349</v>
      </c>
      <c r="C455" s="5" t="s">
        <v>1347</v>
      </c>
      <c r="D455" t="s">
        <v>887</v>
      </c>
      <c r="E455">
        <v>110</v>
      </c>
      <c r="F455" t="s">
        <v>912</v>
      </c>
      <c r="G455" s="2" t="s">
        <v>223</v>
      </c>
      <c r="H455">
        <v>21.352145</v>
      </c>
      <c r="I455">
        <v>103</v>
      </c>
      <c r="J455" t="s">
        <v>1289</v>
      </c>
      <c r="K455" t="s">
        <v>1327</v>
      </c>
      <c r="P455" t="str" cm="1">
        <f t="array" ref="P455:P457">G455:G457</f>
        <v>f</v>
      </c>
      <c r="X455" cm="1">
        <f t="array" ref="X455:X457">H455:H457</f>
        <v>21.352145</v>
      </c>
      <c r="AF455" cm="1">
        <f t="array" ref="AF455:AF457">I455:I457</f>
        <v>103</v>
      </c>
    </row>
    <row r="456" spans="1:34" x14ac:dyDescent="0.25">
      <c r="A456" s="1" t="s">
        <v>913</v>
      </c>
      <c r="B456" s="5" t="s">
        <v>1349</v>
      </c>
      <c r="C456" s="5" t="s">
        <v>1347</v>
      </c>
      <c r="D456" t="s">
        <v>887</v>
      </c>
      <c r="E456">
        <v>110</v>
      </c>
      <c r="F456" t="s">
        <v>914</v>
      </c>
      <c r="G456" s="2" t="s">
        <v>223</v>
      </c>
      <c r="H456">
        <v>29.084443</v>
      </c>
      <c r="I456">
        <v>146</v>
      </c>
      <c r="J456" t="s">
        <v>1289</v>
      </c>
      <c r="K456" t="s">
        <v>1327</v>
      </c>
      <c r="P456" t="str">
        <v>f</v>
      </c>
      <c r="X456">
        <v>29.084443</v>
      </c>
      <c r="AF456">
        <v>146</v>
      </c>
    </row>
    <row r="457" spans="1:34" x14ac:dyDescent="0.25">
      <c r="A457" s="1" t="s">
        <v>915</v>
      </c>
      <c r="B457" s="5" t="s">
        <v>1349</v>
      </c>
      <c r="C457" s="5" t="s">
        <v>1347</v>
      </c>
      <c r="D457" t="s">
        <v>887</v>
      </c>
      <c r="E457">
        <v>110</v>
      </c>
      <c r="F457" t="s">
        <v>916</v>
      </c>
      <c r="G457" s="2" t="s">
        <v>223</v>
      </c>
      <c r="H457">
        <v>40.629313000000003</v>
      </c>
      <c r="I457">
        <v>198</v>
      </c>
      <c r="J457" t="s">
        <v>1289</v>
      </c>
      <c r="K457" t="s">
        <v>1327</v>
      </c>
      <c r="P457" t="str">
        <v>f</v>
      </c>
      <c r="X457">
        <v>40.629313000000003</v>
      </c>
      <c r="AF457">
        <v>198</v>
      </c>
    </row>
    <row r="458" spans="1:34" x14ac:dyDescent="0.25">
      <c r="A458" t="s">
        <v>917</v>
      </c>
      <c r="B458" s="5" t="s">
        <v>1349</v>
      </c>
      <c r="C458" s="5" t="s">
        <v>1347</v>
      </c>
      <c r="D458" t="s">
        <v>887</v>
      </c>
      <c r="E458">
        <v>111</v>
      </c>
      <c r="F458" t="s">
        <v>918</v>
      </c>
      <c r="G458" s="2" t="s">
        <v>223</v>
      </c>
      <c r="H458">
        <v>47.459587999999997</v>
      </c>
      <c r="I458">
        <v>206</v>
      </c>
      <c r="J458" t="s">
        <v>1289</v>
      </c>
      <c r="K458" t="s">
        <v>1327</v>
      </c>
      <c r="Q458" t="str" cm="1">
        <f t="array" ref="Q458:Q460">G458:G460</f>
        <v>f</v>
      </c>
      <c r="Y458" cm="1">
        <f t="array" ref="Y458:Y460">H458:H460</f>
        <v>47.459587999999997</v>
      </c>
      <c r="AG458" cm="1">
        <f t="array" ref="AG458:AG460">I458:I460</f>
        <v>206</v>
      </c>
    </row>
    <row r="459" spans="1:34" x14ac:dyDescent="0.25">
      <c r="A459" t="s">
        <v>919</v>
      </c>
      <c r="B459" s="5" t="s">
        <v>1349</v>
      </c>
      <c r="C459" s="5" t="s">
        <v>1347</v>
      </c>
      <c r="D459" t="s">
        <v>887</v>
      </c>
      <c r="E459">
        <v>111</v>
      </c>
      <c r="F459" t="s">
        <v>920</v>
      </c>
      <c r="G459" s="2" t="s">
        <v>223</v>
      </c>
      <c r="H459">
        <v>1.811704</v>
      </c>
      <c r="I459">
        <v>11</v>
      </c>
      <c r="J459" t="s">
        <v>1289</v>
      </c>
      <c r="K459" t="s">
        <v>1327</v>
      </c>
      <c r="Q459" t="str">
        <v>f</v>
      </c>
      <c r="Y459">
        <v>1.811704</v>
      </c>
      <c r="AG459">
        <v>11</v>
      </c>
    </row>
    <row r="460" spans="1:34" x14ac:dyDescent="0.25">
      <c r="A460" t="s">
        <v>921</v>
      </c>
      <c r="B460" s="5" t="s">
        <v>1349</v>
      </c>
      <c r="C460" s="5" t="s">
        <v>1347</v>
      </c>
      <c r="D460" t="s">
        <v>887</v>
      </c>
      <c r="E460">
        <v>111</v>
      </c>
      <c r="F460" t="s">
        <v>922</v>
      </c>
      <c r="G460" s="2" t="s">
        <v>223</v>
      </c>
      <c r="H460">
        <v>48.727395000000001</v>
      </c>
      <c r="I460">
        <v>242</v>
      </c>
      <c r="J460" t="s">
        <v>1289</v>
      </c>
      <c r="K460" t="s">
        <v>1327</v>
      </c>
      <c r="Q460" t="str">
        <v>f</v>
      </c>
      <c r="Y460">
        <v>48.727395000000001</v>
      </c>
      <c r="AG460">
        <v>242</v>
      </c>
    </row>
    <row r="461" spans="1:34" x14ac:dyDescent="0.25">
      <c r="A461" t="s">
        <v>923</v>
      </c>
      <c r="B461" s="5" t="s">
        <v>1349</v>
      </c>
      <c r="C461" s="5" t="s">
        <v>1347</v>
      </c>
      <c r="D461" t="s">
        <v>887</v>
      </c>
      <c r="E461">
        <v>115</v>
      </c>
      <c r="F461" t="s">
        <v>924</v>
      </c>
      <c r="G461" s="2" t="s">
        <v>223</v>
      </c>
      <c r="H461">
        <v>101.644001</v>
      </c>
      <c r="I461">
        <v>469</v>
      </c>
      <c r="J461" t="s">
        <v>1289</v>
      </c>
      <c r="K461" t="s">
        <v>1327</v>
      </c>
      <c r="R461" t="str" cm="1">
        <f t="array" ref="R461:R463">G461:G463</f>
        <v>f</v>
      </c>
      <c r="Z461" cm="1">
        <f t="array" ref="Z461:Z463">H461:H463</f>
        <v>101.644001</v>
      </c>
      <c r="AH461" cm="1">
        <f t="array" ref="AH461:AH463">I461:I463</f>
        <v>469</v>
      </c>
    </row>
    <row r="462" spans="1:34" x14ac:dyDescent="0.25">
      <c r="A462" t="s">
        <v>925</v>
      </c>
      <c r="B462" s="5" t="s">
        <v>1349</v>
      </c>
      <c r="C462" s="5" t="s">
        <v>1347</v>
      </c>
      <c r="D462" t="s">
        <v>887</v>
      </c>
      <c r="E462">
        <v>115</v>
      </c>
      <c r="F462" t="s">
        <v>926</v>
      </c>
      <c r="G462" s="2" t="s">
        <v>223</v>
      </c>
      <c r="H462">
        <v>68.884334999999993</v>
      </c>
      <c r="I462">
        <v>322</v>
      </c>
      <c r="J462" t="s">
        <v>1289</v>
      </c>
      <c r="K462" t="s">
        <v>1327</v>
      </c>
      <c r="R462" t="str">
        <v>f</v>
      </c>
      <c r="Z462">
        <v>68.884334999999993</v>
      </c>
      <c r="AH462">
        <v>322</v>
      </c>
    </row>
    <row r="463" spans="1:34" s="3" customFormat="1" x14ac:dyDescent="0.25">
      <c r="A463" s="3" t="s">
        <v>927</v>
      </c>
      <c r="B463" s="5" t="s">
        <v>1349</v>
      </c>
      <c r="C463" s="5" t="s">
        <v>1347</v>
      </c>
      <c r="D463" s="3" t="s">
        <v>887</v>
      </c>
      <c r="E463" s="3">
        <v>115</v>
      </c>
      <c r="F463" s="3" t="s">
        <v>928</v>
      </c>
      <c r="G463" s="4" t="s">
        <v>223</v>
      </c>
      <c r="H463" s="3">
        <v>25.450019999999999</v>
      </c>
      <c r="I463" s="3">
        <v>125</v>
      </c>
      <c r="J463" s="3" t="s">
        <v>1289</v>
      </c>
      <c r="K463" s="3" t="s">
        <v>1327</v>
      </c>
      <c r="R463" s="3" t="str">
        <v>f</v>
      </c>
      <c r="Z463" s="3">
        <v>25.450019999999999</v>
      </c>
      <c r="AH463" s="3">
        <v>125</v>
      </c>
    </row>
    <row r="464" spans="1:34" s="5" customFormat="1" x14ac:dyDescent="0.25">
      <c r="A464" s="5" t="s">
        <v>929</v>
      </c>
      <c r="B464" s="5" t="s">
        <v>1349</v>
      </c>
      <c r="C464" s="5" t="s">
        <v>1345</v>
      </c>
      <c r="D464" s="5" t="s">
        <v>930</v>
      </c>
      <c r="E464" s="5">
        <v>95</v>
      </c>
      <c r="F464" s="5" t="s">
        <v>931</v>
      </c>
      <c r="G464" s="6" t="s">
        <v>223</v>
      </c>
      <c r="H464" s="5">
        <v>7.3121510000000001</v>
      </c>
      <c r="I464" s="5">
        <v>37</v>
      </c>
      <c r="J464" s="5" t="s">
        <v>1290</v>
      </c>
      <c r="K464" s="5" t="s">
        <v>1327</v>
      </c>
      <c r="L464" s="5" t="str" cm="1">
        <f t="array" ref="L464:L466">G464:G466</f>
        <v>f</v>
      </c>
      <c r="T464" s="5" cm="1">
        <f t="array" ref="T464:T466">H464:H466</f>
        <v>7.3121510000000001</v>
      </c>
      <c r="AB464" s="5" cm="1">
        <f t="array" ref="AB464:AB466">I464:I466</f>
        <v>37</v>
      </c>
    </row>
    <row r="465" spans="1:33" x14ac:dyDescent="0.25">
      <c r="A465" t="s">
        <v>932</v>
      </c>
      <c r="B465" s="5" t="s">
        <v>1349</v>
      </c>
      <c r="C465" s="5" t="s">
        <v>1345</v>
      </c>
      <c r="D465" t="s">
        <v>930</v>
      </c>
      <c r="E465">
        <v>95</v>
      </c>
      <c r="F465" t="s">
        <v>933</v>
      </c>
      <c r="G465" s="2" t="s">
        <v>222</v>
      </c>
      <c r="H465">
        <v>7.5477780000000001</v>
      </c>
      <c r="I465">
        <v>38</v>
      </c>
      <c r="J465" t="s">
        <v>1290</v>
      </c>
      <c r="K465" t="s">
        <v>1327</v>
      </c>
      <c r="L465" t="str">
        <v>t</v>
      </c>
      <c r="T465">
        <v>7.5477780000000001</v>
      </c>
      <c r="AB465">
        <v>38</v>
      </c>
    </row>
    <row r="466" spans="1:33" x14ac:dyDescent="0.25">
      <c r="A466" t="s">
        <v>934</v>
      </c>
      <c r="B466" s="5" t="s">
        <v>1349</v>
      </c>
      <c r="C466" s="5" t="s">
        <v>1345</v>
      </c>
      <c r="D466" t="s">
        <v>930</v>
      </c>
      <c r="E466">
        <v>95</v>
      </c>
      <c r="F466" t="s">
        <v>935</v>
      </c>
      <c r="G466" s="2" t="s">
        <v>222</v>
      </c>
      <c r="H466">
        <v>7.9373240000000003</v>
      </c>
      <c r="I466">
        <v>41</v>
      </c>
      <c r="J466" t="s">
        <v>1290</v>
      </c>
      <c r="K466" t="s">
        <v>1327</v>
      </c>
      <c r="L466" t="str">
        <v>t</v>
      </c>
      <c r="T466">
        <v>7.9373240000000003</v>
      </c>
      <c r="AB466">
        <v>41</v>
      </c>
    </row>
    <row r="467" spans="1:33" x14ac:dyDescent="0.25">
      <c r="A467" t="s">
        <v>936</v>
      </c>
      <c r="B467" s="5" t="s">
        <v>1349</v>
      </c>
      <c r="C467" s="5" t="s">
        <v>1345</v>
      </c>
      <c r="D467" t="s">
        <v>930</v>
      </c>
      <c r="E467">
        <v>105</v>
      </c>
      <c r="F467" t="s">
        <v>937</v>
      </c>
      <c r="G467" s="2" t="s">
        <v>223</v>
      </c>
      <c r="H467">
        <v>38.097543000000002</v>
      </c>
      <c r="I467">
        <v>196</v>
      </c>
      <c r="J467" t="s">
        <v>1290</v>
      </c>
      <c r="K467" t="s">
        <v>1327</v>
      </c>
      <c r="M467" t="str" cm="1">
        <f t="array" ref="M467:M469">G467:G469</f>
        <v>f</v>
      </c>
      <c r="U467" cm="1">
        <f t="array" ref="U467:U469">H467:H469</f>
        <v>38.097543000000002</v>
      </c>
      <c r="AC467" cm="1">
        <f t="array" ref="AC467:AC469">I467:I469</f>
        <v>196</v>
      </c>
    </row>
    <row r="468" spans="1:33" x14ac:dyDescent="0.25">
      <c r="A468" t="s">
        <v>938</v>
      </c>
      <c r="B468" s="5" t="s">
        <v>1349</v>
      </c>
      <c r="C468" s="5" t="s">
        <v>1345</v>
      </c>
      <c r="D468" t="s">
        <v>930</v>
      </c>
      <c r="E468">
        <v>105</v>
      </c>
      <c r="F468" t="s">
        <v>939</v>
      </c>
      <c r="G468" s="2" t="s">
        <v>223</v>
      </c>
      <c r="H468">
        <v>67.617527999999993</v>
      </c>
      <c r="I468">
        <v>335</v>
      </c>
      <c r="J468" t="s">
        <v>1290</v>
      </c>
      <c r="K468" t="s">
        <v>1327</v>
      </c>
      <c r="M468" t="str">
        <v>f</v>
      </c>
      <c r="U468">
        <v>67.617527999999993</v>
      </c>
      <c r="AC468">
        <v>335</v>
      </c>
    </row>
    <row r="469" spans="1:33" x14ac:dyDescent="0.25">
      <c r="A469" t="s">
        <v>940</v>
      </c>
      <c r="B469" s="5" t="s">
        <v>1349</v>
      </c>
      <c r="C469" s="5" t="s">
        <v>1345</v>
      </c>
      <c r="D469" t="s">
        <v>930</v>
      </c>
      <c r="E469">
        <v>105</v>
      </c>
      <c r="F469" t="s">
        <v>941</v>
      </c>
      <c r="G469" s="2" t="s">
        <v>222</v>
      </c>
      <c r="H469">
        <v>69.014675999999994</v>
      </c>
      <c r="I469">
        <v>341</v>
      </c>
      <c r="J469" t="s">
        <v>1290</v>
      </c>
      <c r="K469" t="s">
        <v>1327</v>
      </c>
      <c r="M469" t="str">
        <v>t</v>
      </c>
      <c r="U469">
        <v>69.014675999999994</v>
      </c>
      <c r="AC469">
        <v>341</v>
      </c>
    </row>
    <row r="470" spans="1:33" x14ac:dyDescent="0.25">
      <c r="A470" t="s">
        <v>942</v>
      </c>
      <c r="B470" s="5" t="s">
        <v>1349</v>
      </c>
      <c r="C470" s="5" t="s">
        <v>1345</v>
      </c>
      <c r="D470" t="s">
        <v>930</v>
      </c>
      <c r="E470">
        <v>160</v>
      </c>
      <c r="F470" t="s">
        <v>943</v>
      </c>
      <c r="G470" s="2" t="s">
        <v>222</v>
      </c>
      <c r="H470">
        <v>46.369646000000003</v>
      </c>
      <c r="I470">
        <v>241</v>
      </c>
      <c r="J470" t="s">
        <v>1290</v>
      </c>
      <c r="K470" t="s">
        <v>1327</v>
      </c>
      <c r="N470" t="str" cm="1">
        <f t="array" ref="N470:N472">G470:G472</f>
        <v>t</v>
      </c>
      <c r="V470" cm="1">
        <f t="array" ref="V470:V472">H470:H472</f>
        <v>46.369646000000003</v>
      </c>
      <c r="AD470" cm="1">
        <f t="array" ref="AD470:AD472">I470:I472</f>
        <v>241</v>
      </c>
    </row>
    <row r="471" spans="1:33" x14ac:dyDescent="0.25">
      <c r="A471" t="s">
        <v>944</v>
      </c>
      <c r="B471" s="5" t="s">
        <v>1349</v>
      </c>
      <c r="C471" s="5" t="s">
        <v>1345</v>
      </c>
      <c r="D471" t="s">
        <v>930</v>
      </c>
      <c r="E471">
        <v>160</v>
      </c>
      <c r="F471" t="s">
        <v>945</v>
      </c>
      <c r="G471" s="2" t="s">
        <v>223</v>
      </c>
      <c r="H471">
        <v>35.877533999999997</v>
      </c>
      <c r="I471">
        <v>182</v>
      </c>
      <c r="J471" t="s">
        <v>1290</v>
      </c>
      <c r="K471" t="s">
        <v>1327</v>
      </c>
      <c r="N471" t="str">
        <v>f</v>
      </c>
      <c r="V471">
        <v>35.877533999999997</v>
      </c>
      <c r="AD471">
        <v>182</v>
      </c>
    </row>
    <row r="472" spans="1:33" x14ac:dyDescent="0.25">
      <c r="A472" t="s">
        <v>946</v>
      </c>
      <c r="B472" s="5" t="s">
        <v>1349</v>
      </c>
      <c r="C472" s="5" t="s">
        <v>1345</v>
      </c>
      <c r="D472" t="s">
        <v>930</v>
      </c>
      <c r="E472">
        <v>160</v>
      </c>
      <c r="F472" t="s">
        <v>947</v>
      </c>
      <c r="G472" s="2" t="s">
        <v>223</v>
      </c>
      <c r="H472">
        <v>44.792385000000003</v>
      </c>
      <c r="I472">
        <v>222</v>
      </c>
      <c r="J472" t="s">
        <v>1290</v>
      </c>
      <c r="K472" t="s">
        <v>1327</v>
      </c>
      <c r="N472" t="str">
        <v>f</v>
      </c>
      <c r="V472">
        <v>44.792385000000003</v>
      </c>
      <c r="AD472">
        <v>222</v>
      </c>
    </row>
    <row r="473" spans="1:33" x14ac:dyDescent="0.25">
      <c r="A473" t="s">
        <v>948</v>
      </c>
      <c r="B473" s="5" t="s">
        <v>1349</v>
      </c>
      <c r="C473" s="5" t="s">
        <v>1345</v>
      </c>
      <c r="D473" t="s">
        <v>930</v>
      </c>
      <c r="E473">
        <v>133</v>
      </c>
      <c r="F473" t="s">
        <v>949</v>
      </c>
      <c r="G473" s="2" t="s">
        <v>223</v>
      </c>
      <c r="H473">
        <v>37.224710999999999</v>
      </c>
      <c r="I473">
        <v>183</v>
      </c>
      <c r="J473" t="s">
        <v>1290</v>
      </c>
      <c r="K473" t="s">
        <v>1327</v>
      </c>
      <c r="O473" t="str" cm="1">
        <f t="array" ref="O473:O475">G473:G475</f>
        <v>f</v>
      </c>
      <c r="W473" cm="1">
        <f t="array" ref="W473:W475">H473:H475</f>
        <v>37.224710999999999</v>
      </c>
      <c r="AE473" cm="1">
        <f t="array" ref="AE473:AE475">I473:I475</f>
        <v>183</v>
      </c>
    </row>
    <row r="474" spans="1:33" x14ac:dyDescent="0.25">
      <c r="A474" t="s">
        <v>950</v>
      </c>
      <c r="B474" s="5" t="s">
        <v>1349</v>
      </c>
      <c r="C474" s="5" t="s">
        <v>1345</v>
      </c>
      <c r="D474" t="s">
        <v>930</v>
      </c>
      <c r="E474">
        <v>133</v>
      </c>
      <c r="F474" t="s">
        <v>951</v>
      </c>
      <c r="G474" s="2" t="s">
        <v>222</v>
      </c>
      <c r="H474">
        <v>43.836635999999999</v>
      </c>
      <c r="I474">
        <v>229</v>
      </c>
      <c r="J474" t="s">
        <v>1290</v>
      </c>
      <c r="K474" t="s">
        <v>1327</v>
      </c>
      <c r="O474" t="str">
        <v>t</v>
      </c>
      <c r="W474">
        <v>43.836635999999999</v>
      </c>
      <c r="AE474">
        <v>229</v>
      </c>
    </row>
    <row r="475" spans="1:33" x14ac:dyDescent="0.25">
      <c r="A475" t="s">
        <v>952</v>
      </c>
      <c r="B475" s="5" t="s">
        <v>1349</v>
      </c>
      <c r="C475" s="5" t="s">
        <v>1345</v>
      </c>
      <c r="D475" t="s">
        <v>930</v>
      </c>
      <c r="E475">
        <v>133</v>
      </c>
      <c r="F475" t="s">
        <v>953</v>
      </c>
      <c r="G475" s="2" t="s">
        <v>223</v>
      </c>
      <c r="H475">
        <v>23.059352000000001</v>
      </c>
      <c r="I475">
        <v>122</v>
      </c>
      <c r="J475" t="s">
        <v>1290</v>
      </c>
      <c r="K475" t="s">
        <v>1327</v>
      </c>
      <c r="O475" t="str">
        <v>f</v>
      </c>
      <c r="W475">
        <v>23.059352000000001</v>
      </c>
      <c r="AE475">
        <v>122</v>
      </c>
    </row>
    <row r="476" spans="1:33" x14ac:dyDescent="0.25">
      <c r="A476" s="1" t="s">
        <v>954</v>
      </c>
      <c r="B476" s="5" t="s">
        <v>1349</v>
      </c>
      <c r="C476" s="5" t="s">
        <v>1345</v>
      </c>
      <c r="D476" t="s">
        <v>930</v>
      </c>
      <c r="E476">
        <v>131</v>
      </c>
      <c r="F476" t="s">
        <v>955</v>
      </c>
      <c r="G476" s="2" t="s">
        <v>223</v>
      </c>
      <c r="H476">
        <v>32.446126</v>
      </c>
      <c r="I476">
        <v>176</v>
      </c>
      <c r="J476" t="s">
        <v>1290</v>
      </c>
      <c r="K476" t="s">
        <v>1327</v>
      </c>
      <c r="P476" t="str" cm="1">
        <f t="array" ref="P476:P478">G476:G478</f>
        <v>f</v>
      </c>
      <c r="X476" cm="1">
        <f t="array" ref="X476:X478">H476:H478</f>
        <v>32.446126</v>
      </c>
      <c r="AF476" cm="1">
        <f t="array" ref="AF476:AF478">I476:I478</f>
        <v>176</v>
      </c>
    </row>
    <row r="477" spans="1:33" x14ac:dyDescent="0.25">
      <c r="A477" s="1" t="s">
        <v>956</v>
      </c>
      <c r="B477" s="5" t="s">
        <v>1349</v>
      </c>
      <c r="C477" s="5" t="s">
        <v>1345</v>
      </c>
      <c r="D477" t="s">
        <v>930</v>
      </c>
      <c r="E477">
        <v>131</v>
      </c>
      <c r="F477" t="s">
        <v>957</v>
      </c>
      <c r="G477" s="2" t="s">
        <v>223</v>
      </c>
      <c r="H477">
        <v>56.076996999999999</v>
      </c>
      <c r="I477">
        <v>308</v>
      </c>
      <c r="J477" t="s">
        <v>1290</v>
      </c>
      <c r="K477" t="s">
        <v>1327</v>
      </c>
      <c r="P477" t="str">
        <v>f</v>
      </c>
      <c r="X477">
        <v>56.076996999999999</v>
      </c>
      <c r="AF477">
        <v>308</v>
      </c>
    </row>
    <row r="478" spans="1:33" x14ac:dyDescent="0.25">
      <c r="A478" s="1" t="s">
        <v>958</v>
      </c>
      <c r="B478" s="5" t="s">
        <v>1349</v>
      </c>
      <c r="C478" s="5" t="s">
        <v>1345</v>
      </c>
      <c r="D478" t="s">
        <v>930</v>
      </c>
      <c r="E478">
        <v>131</v>
      </c>
      <c r="F478" t="s">
        <v>959</v>
      </c>
      <c r="G478" s="2" t="s">
        <v>222</v>
      </c>
      <c r="H478">
        <v>35.660761000000001</v>
      </c>
      <c r="I478">
        <v>199</v>
      </c>
      <c r="J478" t="s">
        <v>1290</v>
      </c>
      <c r="K478" t="s">
        <v>1327</v>
      </c>
      <c r="P478" t="str">
        <v>t</v>
      </c>
      <c r="X478">
        <v>35.660761000000001</v>
      </c>
      <c r="AF478">
        <v>199</v>
      </c>
    </row>
    <row r="479" spans="1:33" x14ac:dyDescent="0.25">
      <c r="A479" t="s">
        <v>960</v>
      </c>
      <c r="B479" s="5" t="s">
        <v>1349</v>
      </c>
      <c r="C479" s="5" t="s">
        <v>1345</v>
      </c>
      <c r="D479" t="s">
        <v>930</v>
      </c>
      <c r="E479">
        <v>132</v>
      </c>
      <c r="F479" t="s">
        <v>961</v>
      </c>
      <c r="G479" s="2" t="s">
        <v>222</v>
      </c>
      <c r="H479">
        <v>67.868500999999995</v>
      </c>
      <c r="I479">
        <v>361</v>
      </c>
      <c r="J479" t="s">
        <v>1290</v>
      </c>
      <c r="K479" t="s">
        <v>1327</v>
      </c>
      <c r="Q479" t="str" cm="1">
        <f t="array" ref="Q479:Q481">G479:G481</f>
        <v>t</v>
      </c>
      <c r="Y479" cm="1">
        <f t="array" ref="Y479:Y481">H479:H481</f>
        <v>67.868500999999995</v>
      </c>
      <c r="AG479" cm="1">
        <f t="array" ref="AG479:AG481">I479:I481</f>
        <v>361</v>
      </c>
    </row>
    <row r="480" spans="1:33" x14ac:dyDescent="0.25">
      <c r="A480" t="s">
        <v>962</v>
      </c>
      <c r="B480" s="5" t="s">
        <v>1349</v>
      </c>
      <c r="C480" s="5" t="s">
        <v>1345</v>
      </c>
      <c r="D480" t="s">
        <v>930</v>
      </c>
      <c r="E480">
        <v>132</v>
      </c>
      <c r="F480" t="s">
        <v>963</v>
      </c>
      <c r="G480" s="2" t="s">
        <v>223</v>
      </c>
      <c r="H480">
        <v>60.731343000000003</v>
      </c>
      <c r="I480">
        <v>349</v>
      </c>
      <c r="J480" t="s">
        <v>1290</v>
      </c>
      <c r="K480" t="s">
        <v>1327</v>
      </c>
      <c r="Q480" t="str">
        <v>f</v>
      </c>
      <c r="Y480">
        <v>60.731343000000003</v>
      </c>
      <c r="AG480">
        <v>349</v>
      </c>
    </row>
    <row r="481" spans="1:34" x14ac:dyDescent="0.25">
      <c r="A481" t="s">
        <v>964</v>
      </c>
      <c r="B481" s="5" t="s">
        <v>1349</v>
      </c>
      <c r="C481" s="5" t="s">
        <v>1345</v>
      </c>
      <c r="D481" t="s">
        <v>930</v>
      </c>
      <c r="E481">
        <v>132</v>
      </c>
      <c r="F481" t="s">
        <v>965</v>
      </c>
      <c r="G481" s="2" t="s">
        <v>223</v>
      </c>
      <c r="H481">
        <v>52.808087</v>
      </c>
      <c r="I481">
        <v>280</v>
      </c>
      <c r="J481" t="s">
        <v>1290</v>
      </c>
      <c r="K481" t="s">
        <v>1327</v>
      </c>
      <c r="Q481" t="str">
        <v>f</v>
      </c>
      <c r="Y481">
        <v>52.808087</v>
      </c>
      <c r="AG481">
        <v>280</v>
      </c>
    </row>
    <row r="482" spans="1:34" x14ac:dyDescent="0.25">
      <c r="A482" t="s">
        <v>966</v>
      </c>
      <c r="B482" s="5" t="s">
        <v>1349</v>
      </c>
      <c r="C482" s="5" t="s">
        <v>1345</v>
      </c>
      <c r="D482" t="s">
        <v>930</v>
      </c>
      <c r="E482">
        <v>136</v>
      </c>
      <c r="F482" t="s">
        <v>967</v>
      </c>
      <c r="G482" s="2" t="s">
        <v>223</v>
      </c>
      <c r="H482">
        <v>61.187716999999999</v>
      </c>
      <c r="I482">
        <v>328</v>
      </c>
      <c r="J482" t="s">
        <v>1290</v>
      </c>
      <c r="K482" t="s">
        <v>1327</v>
      </c>
      <c r="R482" t="str" cm="1">
        <f t="array" ref="R482:R484">G482:G484</f>
        <v>f</v>
      </c>
      <c r="Z482" cm="1">
        <f t="array" ref="Z482:Z484">H482:H484</f>
        <v>61.187716999999999</v>
      </c>
      <c r="AH482" cm="1">
        <f t="array" ref="AH482:AH484">I482:I484</f>
        <v>328</v>
      </c>
    </row>
    <row r="483" spans="1:34" x14ac:dyDescent="0.25">
      <c r="A483" t="s">
        <v>968</v>
      </c>
      <c r="B483" s="5" t="s">
        <v>1349</v>
      </c>
      <c r="C483" s="5" t="s">
        <v>1345</v>
      </c>
      <c r="D483" t="s">
        <v>930</v>
      </c>
      <c r="E483">
        <v>136</v>
      </c>
      <c r="F483" t="s">
        <v>969</v>
      </c>
      <c r="G483" s="2" t="s">
        <v>223</v>
      </c>
      <c r="H483">
        <v>46.036282999999997</v>
      </c>
      <c r="I483">
        <v>261</v>
      </c>
      <c r="J483" t="s">
        <v>1290</v>
      </c>
      <c r="K483" t="s">
        <v>1327</v>
      </c>
      <c r="R483" t="str">
        <v>f</v>
      </c>
      <c r="Z483">
        <v>46.036282999999997</v>
      </c>
      <c r="AH483">
        <v>261</v>
      </c>
    </row>
    <row r="484" spans="1:34" s="3" customFormat="1" x14ac:dyDescent="0.25">
      <c r="A484" s="3" t="s">
        <v>970</v>
      </c>
      <c r="B484" s="5" t="s">
        <v>1349</v>
      </c>
      <c r="C484" s="5" t="s">
        <v>1345</v>
      </c>
      <c r="D484" s="3" t="s">
        <v>930</v>
      </c>
      <c r="E484" s="3">
        <v>136</v>
      </c>
      <c r="F484" s="3" t="s">
        <v>971</v>
      </c>
      <c r="G484" s="4" t="s">
        <v>223</v>
      </c>
      <c r="H484" s="3">
        <v>54.249298000000003</v>
      </c>
      <c r="I484" s="3">
        <v>295</v>
      </c>
      <c r="J484" s="3" t="s">
        <v>1290</v>
      </c>
      <c r="K484" s="3" t="s">
        <v>1327</v>
      </c>
      <c r="R484" s="3" t="str">
        <v>f</v>
      </c>
      <c r="Z484" s="3">
        <v>54.249298000000003</v>
      </c>
      <c r="AH484" s="3">
        <v>295</v>
      </c>
    </row>
    <row r="485" spans="1:34" s="5" customFormat="1" x14ac:dyDescent="0.25">
      <c r="A485" s="5" t="s">
        <v>972</v>
      </c>
      <c r="B485" s="5" t="s">
        <v>1349</v>
      </c>
      <c r="C485" s="5" t="s">
        <v>1345</v>
      </c>
      <c r="D485" s="5" t="s">
        <v>973</v>
      </c>
      <c r="E485" s="5">
        <v>85</v>
      </c>
      <c r="F485" s="5" t="s">
        <v>974</v>
      </c>
      <c r="G485" s="6" t="s">
        <v>223</v>
      </c>
      <c r="H485" s="5">
        <v>10.986910999999999</v>
      </c>
      <c r="I485" s="5">
        <v>61</v>
      </c>
      <c r="J485" s="5" t="s">
        <v>1291</v>
      </c>
      <c r="K485" s="5" t="s">
        <v>1327</v>
      </c>
      <c r="L485" s="5" t="str" cm="1">
        <f t="array" ref="L485:L487">G485:G487</f>
        <v>f</v>
      </c>
      <c r="T485" s="5" cm="1">
        <f t="array" ref="T485:T487">H485:H487</f>
        <v>10.986910999999999</v>
      </c>
      <c r="AB485" s="5" cm="1">
        <f t="array" ref="AB485:AB487">I485:I487</f>
        <v>61</v>
      </c>
    </row>
    <row r="486" spans="1:34" x14ac:dyDescent="0.25">
      <c r="A486" t="s">
        <v>975</v>
      </c>
      <c r="B486" s="5" t="s">
        <v>1349</v>
      </c>
      <c r="C486" s="5" t="s">
        <v>1345</v>
      </c>
      <c r="D486" t="s">
        <v>973</v>
      </c>
      <c r="E486">
        <v>85</v>
      </c>
      <c r="F486" t="s">
        <v>976</v>
      </c>
      <c r="G486" s="2" t="s">
        <v>223</v>
      </c>
      <c r="H486">
        <v>8.6189750000000007</v>
      </c>
      <c r="I486">
        <v>54</v>
      </c>
      <c r="J486" t="s">
        <v>1291</v>
      </c>
      <c r="K486" t="s">
        <v>1327</v>
      </c>
      <c r="L486" t="str">
        <v>f</v>
      </c>
      <c r="T486">
        <v>8.6189750000000007</v>
      </c>
      <c r="AB486">
        <v>54</v>
      </c>
    </row>
    <row r="487" spans="1:34" x14ac:dyDescent="0.25">
      <c r="A487" t="s">
        <v>977</v>
      </c>
      <c r="B487" s="5" t="s">
        <v>1349</v>
      </c>
      <c r="C487" s="5" t="s">
        <v>1345</v>
      </c>
      <c r="D487" t="s">
        <v>973</v>
      </c>
      <c r="E487">
        <v>85</v>
      </c>
      <c r="F487" t="s">
        <v>978</v>
      </c>
      <c r="G487" s="2" t="s">
        <v>223</v>
      </c>
      <c r="H487">
        <v>9.6000680000000003</v>
      </c>
      <c r="I487">
        <v>53</v>
      </c>
      <c r="J487" t="s">
        <v>1291</v>
      </c>
      <c r="K487" t="s">
        <v>1327</v>
      </c>
      <c r="L487" t="str">
        <v>f</v>
      </c>
      <c r="T487">
        <v>9.6000680000000003</v>
      </c>
      <c r="AB487">
        <v>53</v>
      </c>
    </row>
    <row r="488" spans="1:34" x14ac:dyDescent="0.25">
      <c r="A488" t="s">
        <v>979</v>
      </c>
      <c r="B488" s="5" t="s">
        <v>1349</v>
      </c>
      <c r="C488" s="5" t="s">
        <v>1345</v>
      </c>
      <c r="D488" t="s">
        <v>973</v>
      </c>
      <c r="E488">
        <v>95</v>
      </c>
      <c r="F488" t="s">
        <v>980</v>
      </c>
      <c r="G488" s="2" t="s">
        <v>222</v>
      </c>
      <c r="H488">
        <v>67.509531999999993</v>
      </c>
      <c r="I488">
        <v>369</v>
      </c>
      <c r="J488" t="s">
        <v>1291</v>
      </c>
      <c r="K488" t="s">
        <v>1327</v>
      </c>
      <c r="M488" t="str" cm="1">
        <f t="array" ref="M488:M490">G488:G490</f>
        <v>t</v>
      </c>
      <c r="U488" cm="1">
        <f t="array" ref="U488:U490">H488:H490</f>
        <v>67.509531999999993</v>
      </c>
      <c r="AC488" cm="1">
        <f t="array" ref="AC488:AC490">I488:I490</f>
        <v>369</v>
      </c>
    </row>
    <row r="489" spans="1:34" x14ac:dyDescent="0.25">
      <c r="A489" t="s">
        <v>981</v>
      </c>
      <c r="B489" s="5" t="s">
        <v>1349</v>
      </c>
      <c r="C489" s="5" t="s">
        <v>1345</v>
      </c>
      <c r="D489" t="s">
        <v>973</v>
      </c>
      <c r="E489">
        <v>95</v>
      </c>
      <c r="F489" t="s">
        <v>982</v>
      </c>
      <c r="G489" s="2" t="s">
        <v>223</v>
      </c>
      <c r="H489">
        <v>47.711016999999998</v>
      </c>
      <c r="I489">
        <v>272</v>
      </c>
      <c r="J489" t="s">
        <v>1291</v>
      </c>
      <c r="K489" t="s">
        <v>1327</v>
      </c>
      <c r="M489" t="str">
        <v>f</v>
      </c>
      <c r="U489">
        <v>47.711016999999998</v>
      </c>
      <c r="AC489">
        <v>272</v>
      </c>
    </row>
    <row r="490" spans="1:34" x14ac:dyDescent="0.25">
      <c r="A490" t="s">
        <v>983</v>
      </c>
      <c r="B490" s="5" t="s">
        <v>1349</v>
      </c>
      <c r="C490" s="5" t="s">
        <v>1345</v>
      </c>
      <c r="D490" t="s">
        <v>973</v>
      </c>
      <c r="E490">
        <v>95</v>
      </c>
      <c r="F490" t="s">
        <v>984</v>
      </c>
      <c r="G490" s="2" t="s">
        <v>223</v>
      </c>
      <c r="H490">
        <v>54.576768999999999</v>
      </c>
      <c r="I490">
        <v>318</v>
      </c>
      <c r="J490" t="s">
        <v>1291</v>
      </c>
      <c r="K490" t="s">
        <v>1327</v>
      </c>
      <c r="M490" t="str">
        <v>f</v>
      </c>
      <c r="U490">
        <v>54.576768999999999</v>
      </c>
      <c r="AC490">
        <v>318</v>
      </c>
    </row>
    <row r="491" spans="1:34" x14ac:dyDescent="0.25">
      <c r="A491" t="s">
        <v>985</v>
      </c>
      <c r="B491" s="5" t="s">
        <v>1349</v>
      </c>
      <c r="C491" s="5" t="s">
        <v>1345</v>
      </c>
      <c r="D491" t="s">
        <v>973</v>
      </c>
      <c r="E491">
        <v>150</v>
      </c>
      <c r="F491" t="s">
        <v>986</v>
      </c>
      <c r="G491" s="2" t="s">
        <v>223</v>
      </c>
      <c r="H491">
        <v>50.077375000000004</v>
      </c>
      <c r="I491">
        <v>270</v>
      </c>
      <c r="J491" t="s">
        <v>1291</v>
      </c>
      <c r="K491" t="s">
        <v>1327</v>
      </c>
      <c r="N491" t="str" cm="1">
        <f t="array" ref="N491:N493">G491:G493</f>
        <v>f</v>
      </c>
      <c r="V491" cm="1">
        <f t="array" ref="V491:V493">H491:H493</f>
        <v>50.077375000000004</v>
      </c>
      <c r="AD491" cm="1">
        <f t="array" ref="AD491:AD493">I491:I493</f>
        <v>270</v>
      </c>
    </row>
    <row r="492" spans="1:34" x14ac:dyDescent="0.25">
      <c r="A492" t="s">
        <v>987</v>
      </c>
      <c r="B492" s="5" t="s">
        <v>1349</v>
      </c>
      <c r="C492" s="5" t="s">
        <v>1345</v>
      </c>
      <c r="D492" t="s">
        <v>973</v>
      </c>
      <c r="E492">
        <v>150</v>
      </c>
      <c r="F492" t="s">
        <v>988</v>
      </c>
      <c r="G492" s="2" t="s">
        <v>223</v>
      </c>
      <c r="H492">
        <v>59.274555999999997</v>
      </c>
      <c r="I492">
        <v>314</v>
      </c>
      <c r="J492" t="s">
        <v>1291</v>
      </c>
      <c r="K492" t="s">
        <v>1327</v>
      </c>
      <c r="N492" t="str">
        <v>f</v>
      </c>
      <c r="V492">
        <v>59.274555999999997</v>
      </c>
      <c r="AD492">
        <v>314</v>
      </c>
    </row>
    <row r="493" spans="1:34" x14ac:dyDescent="0.25">
      <c r="A493" t="s">
        <v>989</v>
      </c>
      <c r="B493" s="5" t="s">
        <v>1349</v>
      </c>
      <c r="C493" s="5" t="s">
        <v>1345</v>
      </c>
      <c r="D493" t="s">
        <v>973</v>
      </c>
      <c r="E493">
        <v>150</v>
      </c>
      <c r="F493" t="s">
        <v>990</v>
      </c>
      <c r="G493" s="2" t="s">
        <v>223</v>
      </c>
      <c r="H493">
        <v>39.968017000000003</v>
      </c>
      <c r="I493">
        <v>231</v>
      </c>
      <c r="J493" t="s">
        <v>1291</v>
      </c>
      <c r="K493" t="s">
        <v>1327</v>
      </c>
      <c r="N493" t="str">
        <v>f</v>
      </c>
      <c r="V493">
        <v>39.968017000000003</v>
      </c>
      <c r="AD493">
        <v>231</v>
      </c>
    </row>
    <row r="494" spans="1:34" x14ac:dyDescent="0.25">
      <c r="A494" t="s">
        <v>991</v>
      </c>
      <c r="B494" s="5" t="s">
        <v>1349</v>
      </c>
      <c r="C494" s="5" t="s">
        <v>1345</v>
      </c>
      <c r="D494" t="s">
        <v>973</v>
      </c>
      <c r="E494">
        <v>123</v>
      </c>
      <c r="F494" t="s">
        <v>992</v>
      </c>
      <c r="G494" s="2" t="s">
        <v>223</v>
      </c>
      <c r="H494">
        <v>31.198553</v>
      </c>
      <c r="I494">
        <v>174</v>
      </c>
      <c r="J494" t="s">
        <v>1291</v>
      </c>
      <c r="K494" t="s">
        <v>1327</v>
      </c>
      <c r="O494" t="str" cm="1">
        <f t="array" ref="O494:O496">G494:G496</f>
        <v>f</v>
      </c>
      <c r="W494" cm="1">
        <f t="array" ref="W494:W496">H494:H496</f>
        <v>31.198553</v>
      </c>
      <c r="AE494" cm="1">
        <f t="array" ref="AE494:AE496">I494:I496</f>
        <v>174</v>
      </c>
    </row>
    <row r="495" spans="1:34" x14ac:dyDescent="0.25">
      <c r="A495" t="s">
        <v>993</v>
      </c>
      <c r="B495" s="5" t="s">
        <v>1349</v>
      </c>
      <c r="C495" s="5" t="s">
        <v>1345</v>
      </c>
      <c r="D495" t="s">
        <v>973</v>
      </c>
      <c r="E495">
        <v>123</v>
      </c>
      <c r="F495" t="s">
        <v>994</v>
      </c>
      <c r="G495" s="2" t="s">
        <v>223</v>
      </c>
      <c r="H495">
        <v>42.440365999999997</v>
      </c>
      <c r="I495">
        <v>229</v>
      </c>
      <c r="J495" t="s">
        <v>1291</v>
      </c>
      <c r="K495" t="s">
        <v>1327</v>
      </c>
      <c r="O495" t="str">
        <v>f</v>
      </c>
      <c r="W495">
        <v>42.440365999999997</v>
      </c>
      <c r="AE495">
        <v>229</v>
      </c>
    </row>
    <row r="496" spans="1:34" x14ac:dyDescent="0.25">
      <c r="A496" t="s">
        <v>995</v>
      </c>
      <c r="B496" s="5" t="s">
        <v>1349</v>
      </c>
      <c r="C496" s="5" t="s">
        <v>1345</v>
      </c>
      <c r="D496" t="s">
        <v>973</v>
      </c>
      <c r="E496">
        <v>123</v>
      </c>
      <c r="F496" t="s">
        <v>996</v>
      </c>
      <c r="G496" s="2" t="s">
        <v>222</v>
      </c>
      <c r="H496">
        <v>29.730889999999999</v>
      </c>
      <c r="I496">
        <v>166</v>
      </c>
      <c r="J496" t="s">
        <v>1291</v>
      </c>
      <c r="K496" t="s">
        <v>1327</v>
      </c>
      <c r="O496" t="str">
        <v>t</v>
      </c>
      <c r="W496">
        <v>29.730889999999999</v>
      </c>
      <c r="AE496">
        <v>166</v>
      </c>
    </row>
    <row r="497" spans="1:34" x14ac:dyDescent="0.25">
      <c r="A497" s="1" t="s">
        <v>997</v>
      </c>
      <c r="B497" s="5" t="s">
        <v>1349</v>
      </c>
      <c r="C497" s="5" t="s">
        <v>1345</v>
      </c>
      <c r="D497" t="s">
        <v>973</v>
      </c>
      <c r="E497">
        <v>121</v>
      </c>
      <c r="F497" t="s">
        <v>998</v>
      </c>
      <c r="G497" s="2" t="s">
        <v>223</v>
      </c>
      <c r="H497">
        <v>26.440747000000002</v>
      </c>
      <c r="I497">
        <v>150</v>
      </c>
      <c r="J497" t="s">
        <v>1291</v>
      </c>
      <c r="K497" t="s">
        <v>1327</v>
      </c>
      <c r="P497" t="str" cm="1">
        <f t="array" ref="P497:P499">G497:G499</f>
        <v>f</v>
      </c>
      <c r="X497" cm="1">
        <f t="array" ref="X497:X499">H497:H499</f>
        <v>26.440747000000002</v>
      </c>
      <c r="AF497" cm="1">
        <f t="array" ref="AF497:AF499">I497:I499</f>
        <v>150</v>
      </c>
    </row>
    <row r="498" spans="1:34" x14ac:dyDescent="0.25">
      <c r="A498" s="1" t="s">
        <v>999</v>
      </c>
      <c r="B498" s="5" t="s">
        <v>1349</v>
      </c>
      <c r="C498" s="5" t="s">
        <v>1345</v>
      </c>
      <c r="D498" t="s">
        <v>973</v>
      </c>
      <c r="E498">
        <v>121</v>
      </c>
      <c r="F498" t="s">
        <v>1000</v>
      </c>
      <c r="G498" s="2" t="s">
        <v>223</v>
      </c>
      <c r="H498">
        <v>28.622875000000001</v>
      </c>
      <c r="I498">
        <v>160</v>
      </c>
      <c r="J498" t="s">
        <v>1291</v>
      </c>
      <c r="K498" t="s">
        <v>1327</v>
      </c>
      <c r="P498" t="str">
        <v>f</v>
      </c>
      <c r="X498">
        <v>28.622875000000001</v>
      </c>
      <c r="AF498">
        <v>160</v>
      </c>
    </row>
    <row r="499" spans="1:34" x14ac:dyDescent="0.25">
      <c r="A499" s="1" t="s">
        <v>1001</v>
      </c>
      <c r="B499" s="5" t="s">
        <v>1349</v>
      </c>
      <c r="C499" s="5" t="s">
        <v>1345</v>
      </c>
      <c r="D499" t="s">
        <v>973</v>
      </c>
      <c r="E499">
        <v>121</v>
      </c>
      <c r="F499" t="s">
        <v>1002</v>
      </c>
      <c r="G499" s="2" t="s">
        <v>223</v>
      </c>
      <c r="H499">
        <v>35.902053000000002</v>
      </c>
      <c r="I499">
        <v>187</v>
      </c>
      <c r="J499" t="s">
        <v>1291</v>
      </c>
      <c r="K499" t="s">
        <v>1327</v>
      </c>
      <c r="P499" t="str">
        <v>f</v>
      </c>
      <c r="X499">
        <v>35.902053000000002</v>
      </c>
      <c r="AF499">
        <v>187</v>
      </c>
    </row>
    <row r="500" spans="1:34" x14ac:dyDescent="0.25">
      <c r="A500" t="s">
        <v>1003</v>
      </c>
      <c r="B500" s="5" t="s">
        <v>1349</v>
      </c>
      <c r="C500" s="5" t="s">
        <v>1345</v>
      </c>
      <c r="D500" t="s">
        <v>973</v>
      </c>
      <c r="E500">
        <v>122</v>
      </c>
      <c r="F500" t="s">
        <v>1004</v>
      </c>
      <c r="G500" s="2" t="s">
        <v>1318</v>
      </c>
      <c r="H500">
        <v>32.991264000000001</v>
      </c>
      <c r="I500">
        <v>184</v>
      </c>
      <c r="J500" t="s">
        <v>1291</v>
      </c>
      <c r="K500" t="s">
        <v>1327</v>
      </c>
      <c r="Q500" t="str" cm="1">
        <f t="array" ref="Q500:Q502">G500:G502</f>
        <v>ff</v>
      </c>
      <c r="Y500" cm="1">
        <f t="array" ref="Y500:Y502">H500:H502</f>
        <v>32.991264000000001</v>
      </c>
      <c r="AG500" cm="1">
        <f t="array" ref="AG500:AG502">I500:I502</f>
        <v>184</v>
      </c>
    </row>
    <row r="501" spans="1:34" x14ac:dyDescent="0.25">
      <c r="A501" t="s">
        <v>1005</v>
      </c>
      <c r="B501" s="5" t="s">
        <v>1349</v>
      </c>
      <c r="C501" s="5" t="s">
        <v>1345</v>
      </c>
      <c r="D501" t="s">
        <v>973</v>
      </c>
      <c r="E501">
        <v>122</v>
      </c>
      <c r="F501" t="s">
        <v>1006</v>
      </c>
      <c r="G501" s="2" t="s">
        <v>223</v>
      </c>
      <c r="H501">
        <v>30.107334000000002</v>
      </c>
      <c r="I501">
        <v>175</v>
      </c>
      <c r="J501" t="s">
        <v>1291</v>
      </c>
      <c r="K501" t="s">
        <v>1327</v>
      </c>
      <c r="Q501" t="str">
        <v>f</v>
      </c>
      <c r="Y501">
        <v>30.107334000000002</v>
      </c>
      <c r="AG501">
        <v>175</v>
      </c>
    </row>
    <row r="502" spans="1:34" x14ac:dyDescent="0.25">
      <c r="A502" t="s">
        <v>1007</v>
      </c>
      <c r="B502" s="5" t="s">
        <v>1349</v>
      </c>
      <c r="C502" s="5" t="s">
        <v>1345</v>
      </c>
      <c r="D502" t="s">
        <v>973</v>
      </c>
      <c r="E502">
        <v>122</v>
      </c>
      <c r="F502" t="s">
        <v>1008</v>
      </c>
      <c r="G502" s="2" t="s">
        <v>223</v>
      </c>
      <c r="H502">
        <v>38.782245000000003</v>
      </c>
      <c r="I502">
        <v>202</v>
      </c>
      <c r="J502" t="s">
        <v>1291</v>
      </c>
      <c r="K502" t="s">
        <v>1327</v>
      </c>
      <c r="Q502" t="str">
        <v>f</v>
      </c>
      <c r="Y502">
        <v>38.782245000000003</v>
      </c>
      <c r="AG502">
        <v>202</v>
      </c>
    </row>
    <row r="503" spans="1:34" x14ac:dyDescent="0.25">
      <c r="A503" t="s">
        <v>1009</v>
      </c>
      <c r="B503" s="5" t="s">
        <v>1349</v>
      </c>
      <c r="C503" s="5" t="s">
        <v>1345</v>
      </c>
      <c r="D503" t="s">
        <v>973</v>
      </c>
      <c r="E503">
        <v>126</v>
      </c>
      <c r="F503" t="s">
        <v>1010</v>
      </c>
      <c r="G503" s="2" t="s">
        <v>223</v>
      </c>
      <c r="H503">
        <v>58.568964000000001</v>
      </c>
      <c r="I503">
        <v>328</v>
      </c>
      <c r="J503" t="s">
        <v>1291</v>
      </c>
      <c r="K503" t="s">
        <v>1327</v>
      </c>
      <c r="R503" t="str" cm="1">
        <f t="array" ref="R503:R505">G503:G505</f>
        <v>f</v>
      </c>
      <c r="Z503" cm="1">
        <f t="array" ref="Z503:Z505">H503:H505</f>
        <v>58.568964000000001</v>
      </c>
      <c r="AH503" cm="1">
        <f t="array" ref="AH503:AH505">I503:I505</f>
        <v>328</v>
      </c>
    </row>
    <row r="504" spans="1:34" x14ac:dyDescent="0.25">
      <c r="A504" t="s">
        <v>1011</v>
      </c>
      <c r="B504" s="5" t="s">
        <v>1349</v>
      </c>
      <c r="C504" s="5" t="s">
        <v>1345</v>
      </c>
      <c r="D504" t="s">
        <v>973</v>
      </c>
      <c r="E504">
        <v>126</v>
      </c>
      <c r="F504" t="s">
        <v>1012</v>
      </c>
      <c r="G504" s="2" t="s">
        <v>223</v>
      </c>
      <c r="H504">
        <v>75.420984000000004</v>
      </c>
      <c r="I504">
        <v>430</v>
      </c>
      <c r="J504" t="s">
        <v>1291</v>
      </c>
      <c r="K504" t="s">
        <v>1327</v>
      </c>
      <c r="R504" t="str">
        <v>f</v>
      </c>
      <c r="Z504">
        <v>75.420984000000004</v>
      </c>
      <c r="AH504">
        <v>430</v>
      </c>
    </row>
    <row r="505" spans="1:34" s="3" customFormat="1" x14ac:dyDescent="0.25">
      <c r="A505" s="3" t="s">
        <v>1013</v>
      </c>
      <c r="B505" s="5" t="s">
        <v>1349</v>
      </c>
      <c r="C505" s="5" t="s">
        <v>1345</v>
      </c>
      <c r="D505" s="3" t="s">
        <v>973</v>
      </c>
      <c r="E505" s="3">
        <v>126</v>
      </c>
      <c r="F505" s="3" t="s">
        <v>1014</v>
      </c>
      <c r="G505" s="4" t="s">
        <v>223</v>
      </c>
      <c r="H505" s="3">
        <v>92.710970000000003</v>
      </c>
      <c r="I505" s="3">
        <v>502</v>
      </c>
      <c r="J505" s="3" t="s">
        <v>1291</v>
      </c>
      <c r="K505" s="3" t="s">
        <v>1327</v>
      </c>
      <c r="R505" s="3" t="str">
        <v>f</v>
      </c>
      <c r="Z505" s="3">
        <v>92.710970000000003</v>
      </c>
      <c r="AH505" s="3">
        <v>502</v>
      </c>
    </row>
    <row r="506" spans="1:34" s="5" customFormat="1" x14ac:dyDescent="0.25">
      <c r="A506" s="5" t="s">
        <v>1015</v>
      </c>
      <c r="B506" s="5" t="s">
        <v>1349</v>
      </c>
      <c r="C506" s="5" t="s">
        <v>1345</v>
      </c>
      <c r="D506" s="5" t="s">
        <v>1016</v>
      </c>
      <c r="E506" s="5">
        <v>82</v>
      </c>
      <c r="F506" s="5" t="s">
        <v>1017</v>
      </c>
      <c r="G506" s="6" t="s">
        <v>222</v>
      </c>
      <c r="H506" s="5">
        <v>20.190237</v>
      </c>
      <c r="I506" s="5">
        <v>112</v>
      </c>
      <c r="J506" s="5" t="s">
        <v>1292</v>
      </c>
      <c r="K506" s="5" t="s">
        <v>1327</v>
      </c>
      <c r="L506" s="5" t="str" cm="1">
        <f t="array" ref="L506:L508">G506:G508</f>
        <v>t</v>
      </c>
      <c r="T506" s="5" cm="1">
        <f t="array" ref="T506:T508">H506:H508</f>
        <v>20.190237</v>
      </c>
      <c r="AB506" s="5" cm="1">
        <f t="array" ref="AB506:AB508">I506:I508</f>
        <v>112</v>
      </c>
    </row>
    <row r="507" spans="1:34" x14ac:dyDescent="0.25">
      <c r="A507" t="s">
        <v>1018</v>
      </c>
      <c r="B507" s="5" t="s">
        <v>1349</v>
      </c>
      <c r="C507" s="5" t="s">
        <v>1345</v>
      </c>
      <c r="D507" t="s">
        <v>1016</v>
      </c>
      <c r="E507">
        <v>82</v>
      </c>
      <c r="F507" t="s">
        <v>1019</v>
      </c>
      <c r="G507" s="2" t="s">
        <v>222</v>
      </c>
      <c r="H507">
        <v>19.730771000000001</v>
      </c>
      <c r="I507">
        <v>122</v>
      </c>
      <c r="J507" t="s">
        <v>1292</v>
      </c>
      <c r="K507" t="s">
        <v>1327</v>
      </c>
      <c r="L507" t="str">
        <v>t</v>
      </c>
      <c r="T507">
        <v>19.730771000000001</v>
      </c>
      <c r="AB507">
        <v>122</v>
      </c>
    </row>
    <row r="508" spans="1:34" x14ac:dyDescent="0.25">
      <c r="A508" t="s">
        <v>1020</v>
      </c>
      <c r="B508" s="5" t="s">
        <v>1349</v>
      </c>
      <c r="C508" s="5" t="s">
        <v>1345</v>
      </c>
      <c r="D508" t="s">
        <v>1016</v>
      </c>
      <c r="E508">
        <v>82</v>
      </c>
      <c r="F508" t="s">
        <v>1021</v>
      </c>
      <c r="G508" s="2" t="s">
        <v>222</v>
      </c>
      <c r="H508">
        <v>14.492944</v>
      </c>
      <c r="I508">
        <v>79</v>
      </c>
      <c r="J508" t="s">
        <v>1292</v>
      </c>
      <c r="K508" t="s">
        <v>1327</v>
      </c>
      <c r="L508" t="str">
        <v>t</v>
      </c>
      <c r="T508">
        <v>14.492944</v>
      </c>
      <c r="AB508">
        <v>79</v>
      </c>
    </row>
    <row r="509" spans="1:34" x14ac:dyDescent="0.25">
      <c r="A509" t="s">
        <v>1022</v>
      </c>
      <c r="B509" s="5" t="s">
        <v>1349</v>
      </c>
      <c r="C509" s="5" t="s">
        <v>1345</v>
      </c>
      <c r="D509" t="s">
        <v>1016</v>
      </c>
      <c r="E509">
        <v>92</v>
      </c>
      <c r="F509" t="s">
        <v>1023</v>
      </c>
      <c r="G509" s="2" t="s">
        <v>223</v>
      </c>
      <c r="H509">
        <v>55.792813000000002</v>
      </c>
      <c r="I509">
        <v>307</v>
      </c>
      <c r="J509" t="s">
        <v>1292</v>
      </c>
      <c r="K509" t="s">
        <v>1327</v>
      </c>
      <c r="M509" t="str" cm="1">
        <f t="array" ref="M509:M511">G509:G511</f>
        <v>f</v>
      </c>
      <c r="U509" cm="1">
        <f t="array" ref="U509:U511">H509:H511</f>
        <v>55.792813000000002</v>
      </c>
      <c r="AC509" cm="1">
        <f t="array" ref="AC509:AC511">I509:I511</f>
        <v>307</v>
      </c>
    </row>
    <row r="510" spans="1:34" x14ac:dyDescent="0.25">
      <c r="A510" t="s">
        <v>1024</v>
      </c>
      <c r="B510" s="5" t="s">
        <v>1349</v>
      </c>
      <c r="C510" s="5" t="s">
        <v>1345</v>
      </c>
      <c r="D510" t="s">
        <v>1016</v>
      </c>
      <c r="E510">
        <v>92</v>
      </c>
      <c r="F510" t="s">
        <v>1025</v>
      </c>
      <c r="G510" s="2" t="s">
        <v>223</v>
      </c>
      <c r="H510">
        <v>67.744380000000007</v>
      </c>
      <c r="I510">
        <v>377</v>
      </c>
      <c r="J510" t="s">
        <v>1292</v>
      </c>
      <c r="K510" t="s">
        <v>1327</v>
      </c>
      <c r="M510" t="str">
        <v>f</v>
      </c>
      <c r="U510">
        <v>67.744380000000007</v>
      </c>
      <c r="AC510">
        <v>377</v>
      </c>
    </row>
    <row r="511" spans="1:34" x14ac:dyDescent="0.25">
      <c r="A511" t="s">
        <v>1026</v>
      </c>
      <c r="B511" s="5" t="s">
        <v>1349</v>
      </c>
      <c r="C511" s="5" t="s">
        <v>1345</v>
      </c>
      <c r="D511" t="s">
        <v>1016</v>
      </c>
      <c r="E511">
        <v>92</v>
      </c>
      <c r="F511" t="s">
        <v>1027</v>
      </c>
      <c r="G511" s="2" t="s">
        <v>223</v>
      </c>
      <c r="H511">
        <v>69.140129000000002</v>
      </c>
      <c r="I511">
        <v>401</v>
      </c>
      <c r="J511" t="s">
        <v>1292</v>
      </c>
      <c r="K511" t="s">
        <v>1327</v>
      </c>
      <c r="M511" t="str">
        <v>f</v>
      </c>
      <c r="U511">
        <v>69.140129000000002</v>
      </c>
      <c r="AC511">
        <v>401</v>
      </c>
    </row>
    <row r="512" spans="1:34" x14ac:dyDescent="0.25">
      <c r="A512" t="s">
        <v>1028</v>
      </c>
      <c r="B512" s="5" t="s">
        <v>1349</v>
      </c>
      <c r="C512" s="5" t="s">
        <v>1345</v>
      </c>
      <c r="D512" t="s">
        <v>1016</v>
      </c>
      <c r="E512">
        <v>147</v>
      </c>
      <c r="F512" t="s">
        <v>1029</v>
      </c>
      <c r="G512" s="2" t="s">
        <v>223</v>
      </c>
      <c r="H512">
        <v>67.018193999999994</v>
      </c>
      <c r="I512">
        <v>358</v>
      </c>
      <c r="J512" t="s">
        <v>1292</v>
      </c>
      <c r="K512" t="s">
        <v>1327</v>
      </c>
      <c r="N512" t="str" cm="1">
        <f t="array" ref="N512:N514">G512:G514</f>
        <v>f</v>
      </c>
      <c r="V512" cm="1">
        <f t="array" ref="V512:V514">H512:H514</f>
        <v>67.018193999999994</v>
      </c>
      <c r="AD512" cm="1">
        <f t="array" ref="AD512:AD514">I512:I514</f>
        <v>358</v>
      </c>
    </row>
    <row r="513" spans="1:34" x14ac:dyDescent="0.25">
      <c r="A513" t="s">
        <v>1030</v>
      </c>
      <c r="B513" s="5" t="s">
        <v>1349</v>
      </c>
      <c r="C513" s="5" t="s">
        <v>1345</v>
      </c>
      <c r="D513" t="s">
        <v>1016</v>
      </c>
      <c r="E513">
        <v>147</v>
      </c>
      <c r="F513" t="s">
        <v>1031</v>
      </c>
      <c r="G513" s="2" t="s">
        <v>223</v>
      </c>
      <c r="H513">
        <v>41.820897000000002</v>
      </c>
      <c r="I513">
        <v>245</v>
      </c>
      <c r="J513" t="s">
        <v>1292</v>
      </c>
      <c r="K513" t="s">
        <v>1327</v>
      </c>
      <c r="N513" t="str">
        <v>f</v>
      </c>
      <c r="V513">
        <v>41.820897000000002</v>
      </c>
      <c r="AD513">
        <v>245</v>
      </c>
    </row>
    <row r="514" spans="1:34" x14ac:dyDescent="0.25">
      <c r="A514" t="s">
        <v>1032</v>
      </c>
      <c r="B514" s="5" t="s">
        <v>1349</v>
      </c>
      <c r="C514" s="5" t="s">
        <v>1345</v>
      </c>
      <c r="D514" t="s">
        <v>1016</v>
      </c>
      <c r="E514">
        <v>147</v>
      </c>
      <c r="F514" t="s">
        <v>1033</v>
      </c>
      <c r="G514" s="2" t="s">
        <v>223</v>
      </c>
      <c r="H514">
        <v>54.067231999999997</v>
      </c>
      <c r="I514">
        <v>302</v>
      </c>
      <c r="J514" t="s">
        <v>1292</v>
      </c>
      <c r="K514" t="s">
        <v>1327</v>
      </c>
      <c r="N514" t="str">
        <v>f</v>
      </c>
      <c r="V514">
        <v>54.067231999999997</v>
      </c>
      <c r="AD514">
        <v>302</v>
      </c>
    </row>
    <row r="515" spans="1:34" x14ac:dyDescent="0.25">
      <c r="A515" t="s">
        <v>1034</v>
      </c>
      <c r="B515" s="5" t="s">
        <v>1349</v>
      </c>
      <c r="C515" s="5" t="s">
        <v>1345</v>
      </c>
      <c r="D515" t="s">
        <v>1016</v>
      </c>
      <c r="E515">
        <v>120</v>
      </c>
      <c r="F515" t="s">
        <v>1035</v>
      </c>
      <c r="G515" s="2" t="s">
        <v>222</v>
      </c>
      <c r="H515">
        <v>53.319887999999999</v>
      </c>
      <c r="I515">
        <v>304</v>
      </c>
      <c r="J515" t="s">
        <v>1292</v>
      </c>
      <c r="K515" t="s">
        <v>1327</v>
      </c>
      <c r="O515" t="str" cm="1">
        <f t="array" ref="O515:O517">G515:G517</f>
        <v>t</v>
      </c>
      <c r="W515" cm="1">
        <f t="array" ref="W515:W517">H515:H517</f>
        <v>53.319887999999999</v>
      </c>
      <c r="AE515" cm="1">
        <f t="array" ref="AE515:AE517">I515:I517</f>
        <v>304</v>
      </c>
    </row>
    <row r="516" spans="1:34" x14ac:dyDescent="0.25">
      <c r="A516" t="s">
        <v>1036</v>
      </c>
      <c r="B516" s="5" t="s">
        <v>1349</v>
      </c>
      <c r="C516" s="5" t="s">
        <v>1345</v>
      </c>
      <c r="D516" t="s">
        <v>1016</v>
      </c>
      <c r="E516">
        <v>120</v>
      </c>
      <c r="F516" t="s">
        <v>1037</v>
      </c>
      <c r="G516" s="2" t="s">
        <v>222</v>
      </c>
      <c r="H516">
        <v>54.697187999999997</v>
      </c>
      <c r="I516">
        <v>302</v>
      </c>
      <c r="J516" t="s">
        <v>1292</v>
      </c>
      <c r="K516" t="s">
        <v>1327</v>
      </c>
      <c r="O516" t="str">
        <v>t</v>
      </c>
      <c r="W516">
        <v>54.697187999999997</v>
      </c>
      <c r="AE516">
        <v>302</v>
      </c>
    </row>
    <row r="517" spans="1:34" x14ac:dyDescent="0.25">
      <c r="A517" t="s">
        <v>1038</v>
      </c>
      <c r="B517" s="5" t="s">
        <v>1349</v>
      </c>
      <c r="C517" s="5" t="s">
        <v>1345</v>
      </c>
      <c r="D517" t="s">
        <v>1016</v>
      </c>
      <c r="E517">
        <v>120</v>
      </c>
      <c r="F517" t="s">
        <v>1039</v>
      </c>
      <c r="G517" s="2" t="s">
        <v>223</v>
      </c>
      <c r="H517">
        <v>46.340927000000001</v>
      </c>
      <c r="I517">
        <v>269</v>
      </c>
      <c r="J517" t="s">
        <v>1292</v>
      </c>
      <c r="K517" t="s">
        <v>1327</v>
      </c>
      <c r="O517" t="str">
        <v>f</v>
      </c>
      <c r="W517">
        <v>46.340927000000001</v>
      </c>
      <c r="AE517">
        <v>269</v>
      </c>
    </row>
    <row r="518" spans="1:34" x14ac:dyDescent="0.25">
      <c r="A518" s="1" t="s">
        <v>1040</v>
      </c>
      <c r="B518" s="5" t="s">
        <v>1349</v>
      </c>
      <c r="C518" s="5" t="s">
        <v>1345</v>
      </c>
      <c r="D518" t="s">
        <v>1016</v>
      </c>
      <c r="E518">
        <v>118</v>
      </c>
      <c r="F518" t="s">
        <v>1041</v>
      </c>
      <c r="G518" s="2" t="s">
        <v>222</v>
      </c>
      <c r="H518">
        <v>31.984704000000001</v>
      </c>
      <c r="I518">
        <v>186</v>
      </c>
      <c r="J518" t="s">
        <v>1292</v>
      </c>
      <c r="K518" t="s">
        <v>1327</v>
      </c>
      <c r="P518" t="str" cm="1">
        <f t="array" ref="P518:P520">G518:G520</f>
        <v>t</v>
      </c>
      <c r="X518" cm="1">
        <f t="array" ref="X518:X520">H518:H520</f>
        <v>31.984704000000001</v>
      </c>
      <c r="AF518" cm="1">
        <f t="array" ref="AF518:AF520">I518:I520</f>
        <v>186</v>
      </c>
    </row>
    <row r="519" spans="1:34" x14ac:dyDescent="0.25">
      <c r="A519" s="1" t="s">
        <v>1042</v>
      </c>
      <c r="B519" s="5" t="s">
        <v>1349</v>
      </c>
      <c r="C519" s="5" t="s">
        <v>1345</v>
      </c>
      <c r="D519" t="s">
        <v>1016</v>
      </c>
      <c r="E519">
        <v>118</v>
      </c>
      <c r="F519" t="s">
        <v>1043</v>
      </c>
      <c r="G519" s="2" t="s">
        <v>223</v>
      </c>
      <c r="H519">
        <v>36.288328999999997</v>
      </c>
      <c r="I519">
        <v>201</v>
      </c>
      <c r="J519" t="s">
        <v>1292</v>
      </c>
      <c r="K519" t="s">
        <v>1327</v>
      </c>
      <c r="P519" t="str">
        <v>f</v>
      </c>
      <c r="X519">
        <v>36.288328999999997</v>
      </c>
      <c r="AF519">
        <v>201</v>
      </c>
    </row>
    <row r="520" spans="1:34" x14ac:dyDescent="0.25">
      <c r="A520" s="1" t="s">
        <v>1044</v>
      </c>
      <c r="B520" s="5" t="s">
        <v>1349</v>
      </c>
      <c r="C520" s="5" t="s">
        <v>1345</v>
      </c>
      <c r="D520" t="s">
        <v>1016</v>
      </c>
      <c r="E520">
        <v>118</v>
      </c>
      <c r="F520" t="s">
        <v>1045</v>
      </c>
      <c r="G520" s="2" t="s">
        <v>223</v>
      </c>
      <c r="H520">
        <v>36.932949000000001</v>
      </c>
      <c r="I520">
        <v>207</v>
      </c>
      <c r="J520" t="s">
        <v>1292</v>
      </c>
      <c r="K520" t="s">
        <v>1327</v>
      </c>
      <c r="P520" t="str">
        <v>f</v>
      </c>
      <c r="X520">
        <v>36.932949000000001</v>
      </c>
      <c r="AF520">
        <v>207</v>
      </c>
    </row>
    <row r="521" spans="1:34" x14ac:dyDescent="0.25">
      <c r="A521" t="s">
        <v>1046</v>
      </c>
      <c r="B521" s="5" t="s">
        <v>1349</v>
      </c>
      <c r="C521" s="5" t="s">
        <v>1345</v>
      </c>
      <c r="D521" t="s">
        <v>1016</v>
      </c>
      <c r="E521">
        <v>119</v>
      </c>
      <c r="F521" t="s">
        <v>1047</v>
      </c>
      <c r="G521" s="2" t="s">
        <v>223</v>
      </c>
      <c r="H521">
        <v>54.539617999999997</v>
      </c>
      <c r="I521">
        <v>294</v>
      </c>
      <c r="J521" t="s">
        <v>1292</v>
      </c>
      <c r="K521" t="s">
        <v>1327</v>
      </c>
      <c r="Q521" t="str" cm="1">
        <f t="array" ref="Q521:Q523">G521:G523</f>
        <v>f</v>
      </c>
      <c r="Y521" cm="1">
        <f t="array" ref="Y521:Y523">H521:H523</f>
        <v>54.539617999999997</v>
      </c>
      <c r="AG521" cm="1">
        <f t="array" ref="AG521:AG523">I521:I523</f>
        <v>294</v>
      </c>
    </row>
    <row r="522" spans="1:34" x14ac:dyDescent="0.25">
      <c r="A522" t="s">
        <v>1048</v>
      </c>
      <c r="B522" s="5" t="s">
        <v>1349</v>
      </c>
      <c r="C522" s="5" t="s">
        <v>1345</v>
      </c>
      <c r="D522" t="s">
        <v>1016</v>
      </c>
      <c r="E522">
        <v>119</v>
      </c>
      <c r="F522" t="s">
        <v>1049</v>
      </c>
      <c r="G522" s="2" t="s">
        <v>223</v>
      </c>
      <c r="H522">
        <v>94.860988000000006</v>
      </c>
      <c r="I522">
        <v>502</v>
      </c>
      <c r="J522" t="s">
        <v>1292</v>
      </c>
      <c r="K522" t="s">
        <v>1327</v>
      </c>
      <c r="Q522" t="str">
        <v>f</v>
      </c>
      <c r="Y522">
        <v>94.860988000000006</v>
      </c>
      <c r="AG522">
        <v>502</v>
      </c>
    </row>
    <row r="523" spans="1:34" x14ac:dyDescent="0.25">
      <c r="A523" t="s">
        <v>1050</v>
      </c>
      <c r="B523" s="5" t="s">
        <v>1349</v>
      </c>
      <c r="C523" s="5" t="s">
        <v>1345</v>
      </c>
      <c r="D523" t="s">
        <v>1016</v>
      </c>
      <c r="E523">
        <v>119</v>
      </c>
      <c r="F523" t="s">
        <v>1051</v>
      </c>
      <c r="G523" s="2" t="s">
        <v>223</v>
      </c>
      <c r="H523">
        <v>47.405870999999998</v>
      </c>
      <c r="I523">
        <v>264</v>
      </c>
      <c r="J523" t="s">
        <v>1292</v>
      </c>
      <c r="K523" t="s">
        <v>1327</v>
      </c>
      <c r="Q523" t="str">
        <v>f</v>
      </c>
      <c r="Y523">
        <v>47.405870999999998</v>
      </c>
      <c r="AG523">
        <v>264</v>
      </c>
    </row>
    <row r="524" spans="1:34" x14ac:dyDescent="0.25">
      <c r="A524" t="s">
        <v>1052</v>
      </c>
      <c r="B524" s="5" t="s">
        <v>1349</v>
      </c>
      <c r="C524" s="5" t="s">
        <v>1345</v>
      </c>
      <c r="D524" t="s">
        <v>1016</v>
      </c>
      <c r="E524">
        <v>123</v>
      </c>
      <c r="F524" t="s">
        <v>1053</v>
      </c>
      <c r="G524" s="2" t="s">
        <v>223</v>
      </c>
      <c r="H524">
        <v>93.598875000000007</v>
      </c>
      <c r="I524">
        <v>502</v>
      </c>
      <c r="J524" t="s">
        <v>1292</v>
      </c>
      <c r="K524" t="s">
        <v>1327</v>
      </c>
      <c r="R524" t="str" cm="1">
        <f t="array" ref="R524:R526">G524:G526</f>
        <v>f</v>
      </c>
      <c r="Z524" cm="1">
        <f t="array" ref="Z524:Z526">H524:H526</f>
        <v>93.598875000000007</v>
      </c>
      <c r="AH524" cm="1">
        <f t="array" ref="AH524:AH526">I524:I526</f>
        <v>502</v>
      </c>
    </row>
    <row r="525" spans="1:34" x14ac:dyDescent="0.25">
      <c r="A525" t="s">
        <v>1054</v>
      </c>
      <c r="B525" s="5" t="s">
        <v>1349</v>
      </c>
      <c r="C525" s="5" t="s">
        <v>1345</v>
      </c>
      <c r="D525" t="s">
        <v>1016</v>
      </c>
      <c r="E525">
        <v>123</v>
      </c>
      <c r="F525" t="s">
        <v>1055</v>
      </c>
      <c r="G525" s="2" t="s">
        <v>222</v>
      </c>
      <c r="H525">
        <v>85.381524999999996</v>
      </c>
      <c r="I525">
        <v>490</v>
      </c>
      <c r="J525" t="s">
        <v>1292</v>
      </c>
      <c r="K525" t="s">
        <v>1327</v>
      </c>
      <c r="R525" t="str">
        <v>t</v>
      </c>
      <c r="Z525">
        <v>85.381524999999996</v>
      </c>
      <c r="AH525">
        <v>490</v>
      </c>
    </row>
    <row r="526" spans="1:34" s="3" customFormat="1" x14ac:dyDescent="0.25">
      <c r="A526" s="3" t="s">
        <v>1056</v>
      </c>
      <c r="B526" s="5" t="s">
        <v>1349</v>
      </c>
      <c r="C526" s="5" t="s">
        <v>1345</v>
      </c>
      <c r="D526" s="3" t="s">
        <v>1016</v>
      </c>
      <c r="E526" s="3">
        <v>123</v>
      </c>
      <c r="F526" s="3" t="s">
        <v>1057</v>
      </c>
      <c r="G526" s="4" t="s">
        <v>223</v>
      </c>
      <c r="H526" s="3">
        <v>60.254106</v>
      </c>
      <c r="I526" s="3">
        <v>328</v>
      </c>
      <c r="J526" s="3" t="s">
        <v>1292</v>
      </c>
      <c r="K526" s="3" t="s">
        <v>1327</v>
      </c>
      <c r="R526" s="3" t="str">
        <v>f</v>
      </c>
      <c r="Z526" s="3">
        <v>60.254106</v>
      </c>
      <c r="AH526" s="3">
        <v>328</v>
      </c>
    </row>
    <row r="527" spans="1:34" s="5" customFormat="1" x14ac:dyDescent="0.25">
      <c r="A527" s="5" t="s">
        <v>1058</v>
      </c>
      <c r="B527" s="5" t="s">
        <v>1349</v>
      </c>
      <c r="C527" s="5" t="s">
        <v>1345</v>
      </c>
      <c r="D527" s="5" t="s">
        <v>1297</v>
      </c>
      <c r="E527" s="5">
        <v>72</v>
      </c>
      <c r="F527" s="5" t="s">
        <v>1059</v>
      </c>
      <c r="G527" s="6" t="s">
        <v>223</v>
      </c>
      <c r="H527" s="5">
        <v>2.5321099999999999</v>
      </c>
      <c r="I527" s="5">
        <v>13</v>
      </c>
      <c r="J527" s="5" t="s">
        <v>1293</v>
      </c>
      <c r="K527" s="5" t="s">
        <v>1327</v>
      </c>
      <c r="L527" s="5" t="str" cm="1">
        <f t="array" ref="L527:L529">G527:G529</f>
        <v>f</v>
      </c>
      <c r="T527" s="5" cm="1">
        <f t="array" ref="T527:T529">H527:H529</f>
        <v>2.5321099999999999</v>
      </c>
      <c r="AB527" s="5" cm="1">
        <f t="array" ref="AB527:AB529">I527:I529</f>
        <v>13</v>
      </c>
    </row>
    <row r="528" spans="1:34" x14ac:dyDescent="0.25">
      <c r="A528" t="s">
        <v>1060</v>
      </c>
      <c r="B528" s="5" t="s">
        <v>1349</v>
      </c>
      <c r="C528" s="5" t="s">
        <v>1345</v>
      </c>
      <c r="D528" t="s">
        <v>1297</v>
      </c>
      <c r="E528">
        <v>72</v>
      </c>
      <c r="F528" t="s">
        <v>1061</v>
      </c>
      <c r="G528" s="2" t="s">
        <v>223</v>
      </c>
      <c r="H528">
        <v>18.042956</v>
      </c>
      <c r="I528">
        <v>108</v>
      </c>
      <c r="J528" t="s">
        <v>1293</v>
      </c>
      <c r="K528" t="s">
        <v>1327</v>
      </c>
      <c r="L528" t="str">
        <v>f</v>
      </c>
      <c r="T528">
        <v>18.042956</v>
      </c>
      <c r="AB528">
        <v>108</v>
      </c>
    </row>
    <row r="529" spans="1:33" x14ac:dyDescent="0.25">
      <c r="A529" t="s">
        <v>1062</v>
      </c>
      <c r="B529" s="5" t="s">
        <v>1349</v>
      </c>
      <c r="C529" s="5" t="s">
        <v>1345</v>
      </c>
      <c r="D529" t="s">
        <v>1297</v>
      </c>
      <c r="E529">
        <v>72</v>
      </c>
      <c r="F529" t="s">
        <v>1063</v>
      </c>
      <c r="G529" s="2" t="s">
        <v>223</v>
      </c>
      <c r="H529">
        <v>7.1110009999999999</v>
      </c>
      <c r="I529">
        <v>45</v>
      </c>
      <c r="J529" t="s">
        <v>1293</v>
      </c>
      <c r="K529" t="s">
        <v>1327</v>
      </c>
      <c r="L529" t="str">
        <v>f</v>
      </c>
      <c r="T529">
        <v>7.1110009999999999</v>
      </c>
      <c r="AB529">
        <v>45</v>
      </c>
    </row>
    <row r="530" spans="1:33" x14ac:dyDescent="0.25">
      <c r="A530" t="s">
        <v>1064</v>
      </c>
      <c r="B530" s="5" t="s">
        <v>1349</v>
      </c>
      <c r="C530" s="5" t="s">
        <v>1345</v>
      </c>
      <c r="D530" t="s">
        <v>1297</v>
      </c>
      <c r="E530">
        <v>82</v>
      </c>
      <c r="F530" t="s">
        <v>1065</v>
      </c>
      <c r="G530" s="2" t="s">
        <v>222</v>
      </c>
      <c r="H530">
        <v>59.383298000000003</v>
      </c>
      <c r="I530">
        <v>358</v>
      </c>
      <c r="J530" t="s">
        <v>1293</v>
      </c>
      <c r="K530" t="s">
        <v>1327</v>
      </c>
      <c r="M530" t="str" cm="1">
        <f t="array" ref="M530:M532">G530:G532</f>
        <v>t</v>
      </c>
      <c r="U530" cm="1">
        <f t="array" ref="U530:U532">H530:H532</f>
        <v>59.383298000000003</v>
      </c>
      <c r="AC530" cm="1">
        <f t="array" ref="AC530:AC532">I530:I532</f>
        <v>358</v>
      </c>
    </row>
    <row r="531" spans="1:33" x14ac:dyDescent="0.25">
      <c r="A531" t="s">
        <v>1066</v>
      </c>
      <c r="B531" s="5" t="s">
        <v>1349</v>
      </c>
      <c r="C531" s="5" t="s">
        <v>1345</v>
      </c>
      <c r="D531" t="s">
        <v>1297</v>
      </c>
      <c r="E531">
        <v>82</v>
      </c>
      <c r="F531" t="s">
        <v>1067</v>
      </c>
      <c r="G531" s="2" t="s">
        <v>223</v>
      </c>
      <c r="H531">
        <v>85.225739000000004</v>
      </c>
      <c r="I531">
        <v>502</v>
      </c>
      <c r="J531" t="s">
        <v>1293</v>
      </c>
      <c r="K531" t="s">
        <v>1327</v>
      </c>
      <c r="M531" t="str">
        <v>f</v>
      </c>
      <c r="U531">
        <v>85.225739000000004</v>
      </c>
      <c r="AC531">
        <v>502</v>
      </c>
    </row>
    <row r="532" spans="1:33" x14ac:dyDescent="0.25">
      <c r="A532" t="s">
        <v>1068</v>
      </c>
      <c r="B532" s="5" t="s">
        <v>1349</v>
      </c>
      <c r="C532" s="5" t="s">
        <v>1345</v>
      </c>
      <c r="D532" t="s">
        <v>1297</v>
      </c>
      <c r="E532">
        <v>82</v>
      </c>
      <c r="F532" t="s">
        <v>1069</v>
      </c>
      <c r="G532" s="2" t="s">
        <v>223</v>
      </c>
      <c r="H532">
        <v>51.519762999999998</v>
      </c>
      <c r="I532">
        <v>317</v>
      </c>
      <c r="J532" t="s">
        <v>1293</v>
      </c>
      <c r="K532" t="s">
        <v>1327</v>
      </c>
      <c r="M532" t="str">
        <v>f</v>
      </c>
      <c r="U532">
        <v>51.519762999999998</v>
      </c>
      <c r="AC532">
        <v>317</v>
      </c>
    </row>
    <row r="533" spans="1:33" x14ac:dyDescent="0.25">
      <c r="A533" t="s">
        <v>1070</v>
      </c>
      <c r="B533" s="5" t="s">
        <v>1349</v>
      </c>
      <c r="C533" s="5" t="s">
        <v>1345</v>
      </c>
      <c r="D533" t="s">
        <v>1297</v>
      </c>
      <c r="E533">
        <v>137</v>
      </c>
      <c r="F533" t="s">
        <v>1071</v>
      </c>
      <c r="G533" s="2" t="s">
        <v>223</v>
      </c>
      <c r="H533">
        <v>68.597852000000003</v>
      </c>
      <c r="I533">
        <v>342</v>
      </c>
      <c r="J533" t="s">
        <v>1293</v>
      </c>
      <c r="K533" t="s">
        <v>1327</v>
      </c>
      <c r="N533" t="str" cm="1">
        <f t="array" ref="N533:N535">G533:G535</f>
        <v>f</v>
      </c>
      <c r="V533" cm="1">
        <f t="array" ref="V533:V535">H533:H535</f>
        <v>68.597852000000003</v>
      </c>
      <c r="AD533" cm="1">
        <f t="array" ref="AD533:AD535">I533:I535</f>
        <v>342</v>
      </c>
    </row>
    <row r="534" spans="1:33" x14ac:dyDescent="0.25">
      <c r="A534" t="s">
        <v>1072</v>
      </c>
      <c r="B534" s="5" t="s">
        <v>1349</v>
      </c>
      <c r="C534" s="5" t="s">
        <v>1345</v>
      </c>
      <c r="D534" t="s">
        <v>1297</v>
      </c>
      <c r="E534">
        <v>137</v>
      </c>
      <c r="F534" t="s">
        <v>1073</v>
      </c>
      <c r="G534" s="2" t="s">
        <v>223</v>
      </c>
      <c r="H534">
        <v>70.196944000000002</v>
      </c>
      <c r="I534">
        <v>338</v>
      </c>
      <c r="J534" t="s">
        <v>1293</v>
      </c>
      <c r="K534" t="s">
        <v>1327</v>
      </c>
      <c r="N534" t="str">
        <v>f</v>
      </c>
      <c r="V534">
        <v>70.196944000000002</v>
      </c>
      <c r="AD534">
        <v>338</v>
      </c>
    </row>
    <row r="535" spans="1:33" x14ac:dyDescent="0.25">
      <c r="A535" t="s">
        <v>1074</v>
      </c>
      <c r="B535" s="5" t="s">
        <v>1349</v>
      </c>
      <c r="C535" s="5" t="s">
        <v>1345</v>
      </c>
      <c r="D535" t="s">
        <v>1297</v>
      </c>
      <c r="E535">
        <v>137</v>
      </c>
      <c r="F535" t="s">
        <v>1075</v>
      </c>
      <c r="G535" s="2" t="s">
        <v>223</v>
      </c>
      <c r="H535">
        <v>68.704580000000007</v>
      </c>
      <c r="I535">
        <v>339</v>
      </c>
      <c r="J535" t="s">
        <v>1293</v>
      </c>
      <c r="K535" t="s">
        <v>1327</v>
      </c>
      <c r="N535" t="str">
        <v>f</v>
      </c>
      <c r="V535">
        <v>68.704580000000007</v>
      </c>
      <c r="AD535">
        <v>339</v>
      </c>
    </row>
    <row r="536" spans="1:33" x14ac:dyDescent="0.25">
      <c r="A536" t="s">
        <v>1076</v>
      </c>
      <c r="B536" s="5" t="s">
        <v>1349</v>
      </c>
      <c r="C536" s="5" t="s">
        <v>1345</v>
      </c>
      <c r="D536" t="s">
        <v>1297</v>
      </c>
      <c r="E536">
        <v>110</v>
      </c>
      <c r="F536" t="s">
        <v>1077</v>
      </c>
      <c r="G536" s="2" t="s">
        <v>223</v>
      </c>
      <c r="H536">
        <v>35.850451</v>
      </c>
      <c r="I536">
        <v>185</v>
      </c>
      <c r="J536" t="s">
        <v>1293</v>
      </c>
      <c r="K536" t="s">
        <v>1327</v>
      </c>
      <c r="O536" t="str" cm="1">
        <f t="array" ref="O536:O538">G536:G538</f>
        <v>f</v>
      </c>
      <c r="W536" cm="1">
        <f t="array" ref="W536:W538">H536:H538</f>
        <v>35.850451</v>
      </c>
      <c r="AE536" cm="1">
        <f t="array" ref="AE536:AE538">I536:I538</f>
        <v>185</v>
      </c>
    </row>
    <row r="537" spans="1:33" x14ac:dyDescent="0.25">
      <c r="A537" t="s">
        <v>1078</v>
      </c>
      <c r="B537" s="5" t="s">
        <v>1349</v>
      </c>
      <c r="C537" s="5" t="s">
        <v>1345</v>
      </c>
      <c r="D537" t="s">
        <v>1297</v>
      </c>
      <c r="E537">
        <v>110</v>
      </c>
      <c r="F537" t="s">
        <v>1079</v>
      </c>
      <c r="G537" s="2" t="s">
        <v>223</v>
      </c>
      <c r="H537">
        <v>91.441457</v>
      </c>
      <c r="I537">
        <v>445</v>
      </c>
      <c r="J537" t="s">
        <v>1293</v>
      </c>
      <c r="K537" t="s">
        <v>1327</v>
      </c>
      <c r="O537" t="str">
        <v>f</v>
      </c>
      <c r="W537">
        <v>91.441457</v>
      </c>
      <c r="AE537">
        <v>445</v>
      </c>
    </row>
    <row r="538" spans="1:33" x14ac:dyDescent="0.25">
      <c r="A538" t="s">
        <v>1080</v>
      </c>
      <c r="B538" s="5" t="s">
        <v>1349</v>
      </c>
      <c r="C538" s="5" t="s">
        <v>1345</v>
      </c>
      <c r="D538" t="s">
        <v>1297</v>
      </c>
      <c r="E538">
        <v>110</v>
      </c>
      <c r="F538" t="s">
        <v>1081</v>
      </c>
      <c r="G538" s="2" t="s">
        <v>223</v>
      </c>
      <c r="H538">
        <v>16.239070999999999</v>
      </c>
      <c r="I538">
        <v>80</v>
      </c>
      <c r="J538" t="s">
        <v>1293</v>
      </c>
      <c r="K538" t="s">
        <v>1327</v>
      </c>
      <c r="O538" t="str">
        <v>f</v>
      </c>
      <c r="W538">
        <v>16.239070999999999</v>
      </c>
      <c r="AE538">
        <v>80</v>
      </c>
    </row>
    <row r="539" spans="1:33" x14ac:dyDescent="0.25">
      <c r="A539" s="1" t="s">
        <v>1082</v>
      </c>
      <c r="B539" s="5" t="s">
        <v>1349</v>
      </c>
      <c r="C539" s="5" t="s">
        <v>1345</v>
      </c>
      <c r="D539" t="s">
        <v>1297</v>
      </c>
      <c r="E539">
        <v>108</v>
      </c>
      <c r="F539" t="s">
        <v>1083</v>
      </c>
      <c r="G539" s="2" t="s">
        <v>223</v>
      </c>
      <c r="H539">
        <v>90.913646999999997</v>
      </c>
      <c r="I539">
        <v>436</v>
      </c>
      <c r="J539" t="s">
        <v>1293</v>
      </c>
      <c r="K539" t="s">
        <v>1327</v>
      </c>
      <c r="P539" t="str" cm="1">
        <f t="array" ref="P539:P541">G539:G541</f>
        <v>f</v>
      </c>
      <c r="X539" cm="1">
        <f t="array" ref="X539:X541">H539:H541</f>
        <v>90.913646999999997</v>
      </c>
      <c r="AF539" cm="1">
        <f t="array" ref="AF539:AF541">I539:I541</f>
        <v>436</v>
      </c>
    </row>
    <row r="540" spans="1:33" x14ac:dyDescent="0.25">
      <c r="A540" s="1" t="s">
        <v>1084</v>
      </c>
      <c r="B540" s="5" t="s">
        <v>1349</v>
      </c>
      <c r="C540" s="5" t="s">
        <v>1345</v>
      </c>
      <c r="D540" t="s">
        <v>1297</v>
      </c>
      <c r="E540">
        <v>108</v>
      </c>
      <c r="F540" t="s">
        <v>1085</v>
      </c>
      <c r="G540" s="2" t="s">
        <v>223</v>
      </c>
      <c r="H540">
        <v>77.663173</v>
      </c>
      <c r="I540">
        <v>385</v>
      </c>
      <c r="J540" t="s">
        <v>1293</v>
      </c>
      <c r="K540" t="s">
        <v>1327</v>
      </c>
      <c r="P540" t="str">
        <v>f</v>
      </c>
      <c r="X540">
        <v>77.663173</v>
      </c>
      <c r="AF540">
        <v>385</v>
      </c>
    </row>
    <row r="541" spans="1:33" x14ac:dyDescent="0.25">
      <c r="A541" s="1" t="s">
        <v>1086</v>
      </c>
      <c r="B541" s="5" t="s">
        <v>1349</v>
      </c>
      <c r="C541" s="5" t="s">
        <v>1345</v>
      </c>
      <c r="D541" t="s">
        <v>1297</v>
      </c>
      <c r="E541">
        <v>108</v>
      </c>
      <c r="F541" t="s">
        <v>1087</v>
      </c>
      <c r="G541" s="2" t="s">
        <v>223</v>
      </c>
      <c r="H541">
        <v>25.411695999999999</v>
      </c>
      <c r="I541">
        <v>128</v>
      </c>
      <c r="J541" t="s">
        <v>1293</v>
      </c>
      <c r="K541" t="s">
        <v>1327</v>
      </c>
      <c r="P541" t="str">
        <v>f</v>
      </c>
      <c r="X541">
        <v>25.411695999999999</v>
      </c>
      <c r="AF541">
        <v>128</v>
      </c>
    </row>
    <row r="542" spans="1:33" x14ac:dyDescent="0.25">
      <c r="A542" t="s">
        <v>1088</v>
      </c>
      <c r="B542" s="5" t="s">
        <v>1349</v>
      </c>
      <c r="C542" s="5" t="s">
        <v>1345</v>
      </c>
      <c r="D542" t="s">
        <v>1297</v>
      </c>
      <c r="E542">
        <v>109</v>
      </c>
      <c r="F542" t="s">
        <v>1089</v>
      </c>
      <c r="G542" s="2" t="s">
        <v>223</v>
      </c>
      <c r="H542">
        <v>87.542298000000002</v>
      </c>
      <c r="I542">
        <v>434</v>
      </c>
      <c r="J542" t="s">
        <v>1293</v>
      </c>
      <c r="K542" t="s">
        <v>1327</v>
      </c>
      <c r="Q542" t="str" cm="1">
        <f t="array" ref="Q542:Q544">G542:G544</f>
        <v>f</v>
      </c>
      <c r="Y542" cm="1">
        <f t="array" ref="Y542:Y544">H542:H544</f>
        <v>87.542298000000002</v>
      </c>
      <c r="AG542" cm="1">
        <f t="array" ref="AG542:AG544">I542:I544</f>
        <v>434</v>
      </c>
    </row>
    <row r="543" spans="1:33" x14ac:dyDescent="0.25">
      <c r="A543" t="s">
        <v>1090</v>
      </c>
      <c r="B543" s="5" t="s">
        <v>1349</v>
      </c>
      <c r="C543" s="5" t="s">
        <v>1345</v>
      </c>
      <c r="D543" t="s">
        <v>1297</v>
      </c>
      <c r="E543">
        <v>109</v>
      </c>
      <c r="F543" t="s">
        <v>1091</v>
      </c>
      <c r="G543" s="2" t="s">
        <v>223</v>
      </c>
      <c r="H543">
        <v>44.427641999999999</v>
      </c>
      <c r="I543">
        <v>274</v>
      </c>
      <c r="J543" t="s">
        <v>1293</v>
      </c>
      <c r="K543" t="s">
        <v>1327</v>
      </c>
      <c r="Q543" t="str">
        <v>f</v>
      </c>
      <c r="Y543">
        <v>44.427641999999999</v>
      </c>
      <c r="AG543">
        <v>274</v>
      </c>
    </row>
    <row r="544" spans="1:33" x14ac:dyDescent="0.25">
      <c r="A544" t="s">
        <v>1092</v>
      </c>
      <c r="B544" s="5" t="s">
        <v>1349</v>
      </c>
      <c r="C544" s="5" t="s">
        <v>1345</v>
      </c>
      <c r="D544" t="s">
        <v>1297</v>
      </c>
      <c r="E544">
        <v>109</v>
      </c>
      <c r="F544" t="s">
        <v>1093</v>
      </c>
      <c r="G544" s="2" t="s">
        <v>223</v>
      </c>
      <c r="H544">
        <v>86.876515999999995</v>
      </c>
      <c r="I544">
        <v>502</v>
      </c>
      <c r="J544" t="s">
        <v>1293</v>
      </c>
      <c r="K544" t="s">
        <v>1327</v>
      </c>
      <c r="Q544" t="str">
        <v>f</v>
      </c>
      <c r="Y544">
        <v>86.876515999999995</v>
      </c>
      <c r="AG544">
        <v>502</v>
      </c>
    </row>
    <row r="545" spans="1:34" x14ac:dyDescent="0.25">
      <c r="A545" t="s">
        <v>1094</v>
      </c>
      <c r="B545" s="5" t="s">
        <v>1349</v>
      </c>
      <c r="C545" s="5" t="s">
        <v>1345</v>
      </c>
      <c r="D545" t="s">
        <v>1297</v>
      </c>
      <c r="E545">
        <v>113</v>
      </c>
      <c r="F545" t="s">
        <v>1095</v>
      </c>
      <c r="G545" s="2" t="s">
        <v>223</v>
      </c>
      <c r="H545">
        <v>86.016175000000004</v>
      </c>
      <c r="I545">
        <v>502</v>
      </c>
      <c r="J545" t="s">
        <v>1293</v>
      </c>
      <c r="K545" t="s">
        <v>1327</v>
      </c>
      <c r="R545" t="str" cm="1">
        <f t="array" ref="R545:R547">G545:G547</f>
        <v>f</v>
      </c>
      <c r="Z545" cm="1">
        <f t="array" ref="Z545:Z547">H545:H547</f>
        <v>86.016175000000004</v>
      </c>
      <c r="AH545" cm="1">
        <f t="array" ref="AH545:AH547">I545:I547</f>
        <v>502</v>
      </c>
    </row>
    <row r="546" spans="1:34" x14ac:dyDescent="0.25">
      <c r="A546" t="s">
        <v>1096</v>
      </c>
      <c r="B546" s="5" t="s">
        <v>1349</v>
      </c>
      <c r="C546" s="5" t="s">
        <v>1345</v>
      </c>
      <c r="D546" t="s">
        <v>1297</v>
      </c>
      <c r="E546">
        <v>113</v>
      </c>
      <c r="F546" t="s">
        <v>1097</v>
      </c>
      <c r="G546" s="2" t="s">
        <v>223</v>
      </c>
      <c r="H546">
        <v>74.536379999999994</v>
      </c>
      <c r="I546">
        <v>411</v>
      </c>
      <c r="J546" t="s">
        <v>1293</v>
      </c>
      <c r="K546" t="s">
        <v>1327</v>
      </c>
      <c r="R546" t="str">
        <v>f</v>
      </c>
      <c r="Z546">
        <v>74.536379999999994</v>
      </c>
      <c r="AH546">
        <v>411</v>
      </c>
    </row>
    <row r="547" spans="1:34" s="3" customFormat="1" x14ac:dyDescent="0.25">
      <c r="A547" s="3" t="s">
        <v>1098</v>
      </c>
      <c r="B547" s="5" t="s">
        <v>1349</v>
      </c>
      <c r="C547" s="5" t="s">
        <v>1345</v>
      </c>
      <c r="D547" s="3" t="s">
        <v>1297</v>
      </c>
      <c r="E547" s="3">
        <v>113</v>
      </c>
      <c r="F547" s="3" t="s">
        <v>1099</v>
      </c>
      <c r="G547" s="4" t="s">
        <v>223</v>
      </c>
      <c r="H547" s="3">
        <v>92.348774000000006</v>
      </c>
      <c r="I547" s="3">
        <v>502</v>
      </c>
      <c r="J547" s="3" t="s">
        <v>1293</v>
      </c>
      <c r="K547" s="3" t="s">
        <v>1327</v>
      </c>
      <c r="R547" s="3" t="str">
        <v>f</v>
      </c>
      <c r="Z547" s="3">
        <v>92.348774000000006</v>
      </c>
      <c r="AH547" s="3">
        <v>502</v>
      </c>
    </row>
    <row r="548" spans="1:34" s="5" customFormat="1" x14ac:dyDescent="0.25">
      <c r="A548" s="5" t="s">
        <v>1100</v>
      </c>
      <c r="B548" s="5" t="s">
        <v>1349</v>
      </c>
      <c r="C548" s="5" t="s">
        <v>1345</v>
      </c>
      <c r="D548" s="5" t="s">
        <v>1101</v>
      </c>
      <c r="E548" s="5">
        <v>112</v>
      </c>
      <c r="F548" s="5" t="s">
        <v>1102</v>
      </c>
      <c r="G548" s="6" t="s">
        <v>223</v>
      </c>
      <c r="H548" s="5">
        <v>2.1015969999999999</v>
      </c>
      <c r="I548" s="5">
        <v>10</v>
      </c>
      <c r="J548" s="5" t="s">
        <v>1294</v>
      </c>
      <c r="K548" s="5" t="s">
        <v>1327</v>
      </c>
      <c r="L548" s="5" t="str" cm="1">
        <f t="array" ref="L548:L550">G548:G550</f>
        <v>f</v>
      </c>
      <c r="T548" s="5" cm="1">
        <f t="array" ref="T548:T550">H548:H550</f>
        <v>2.1015969999999999</v>
      </c>
      <c r="AB548" s="5" cm="1">
        <f t="array" ref="AB548:AB550">I548:I550</f>
        <v>10</v>
      </c>
    </row>
    <row r="549" spans="1:34" x14ac:dyDescent="0.25">
      <c r="A549" t="s">
        <v>1103</v>
      </c>
      <c r="B549" s="5" t="s">
        <v>1349</v>
      </c>
      <c r="C549" s="5" t="s">
        <v>1345</v>
      </c>
      <c r="D549" t="s">
        <v>1101</v>
      </c>
      <c r="E549">
        <v>112</v>
      </c>
      <c r="F549" t="s">
        <v>1102</v>
      </c>
      <c r="G549" s="2" t="s">
        <v>223</v>
      </c>
      <c r="H549">
        <v>1.393999</v>
      </c>
      <c r="I549">
        <v>10</v>
      </c>
      <c r="J549" t="s">
        <v>1294</v>
      </c>
      <c r="K549" t="s">
        <v>1327</v>
      </c>
      <c r="L549" t="str">
        <v>f</v>
      </c>
      <c r="T549">
        <v>1.393999</v>
      </c>
      <c r="AB549">
        <v>10</v>
      </c>
    </row>
    <row r="550" spans="1:34" x14ac:dyDescent="0.25">
      <c r="A550" t="s">
        <v>1104</v>
      </c>
      <c r="B550" s="5" t="s">
        <v>1349</v>
      </c>
      <c r="C550" s="5" t="s">
        <v>1345</v>
      </c>
      <c r="D550" t="s">
        <v>1101</v>
      </c>
      <c r="E550">
        <v>112</v>
      </c>
      <c r="F550" t="s">
        <v>1102</v>
      </c>
      <c r="G550" s="2" t="s">
        <v>223</v>
      </c>
      <c r="H550">
        <v>1.476097</v>
      </c>
      <c r="I550">
        <v>10</v>
      </c>
      <c r="J550" t="s">
        <v>1294</v>
      </c>
      <c r="K550" t="s">
        <v>1327</v>
      </c>
      <c r="L550" t="str">
        <v>f</v>
      </c>
      <c r="T550">
        <v>1.476097</v>
      </c>
      <c r="AB550">
        <v>10</v>
      </c>
    </row>
    <row r="551" spans="1:34" x14ac:dyDescent="0.25">
      <c r="A551" t="s">
        <v>1105</v>
      </c>
      <c r="B551" s="5" t="s">
        <v>1349</v>
      </c>
      <c r="C551" s="5" t="s">
        <v>1345</v>
      </c>
      <c r="D551" t="s">
        <v>1101</v>
      </c>
      <c r="E551">
        <v>122</v>
      </c>
      <c r="F551" t="s">
        <v>1106</v>
      </c>
      <c r="G551" s="2" t="s">
        <v>222</v>
      </c>
      <c r="H551">
        <v>58.848351999999998</v>
      </c>
      <c r="I551">
        <v>321</v>
      </c>
      <c r="J551" t="s">
        <v>1294</v>
      </c>
      <c r="K551" t="s">
        <v>1327</v>
      </c>
      <c r="M551" t="str" cm="1">
        <f t="array" ref="M551:M553">G551:G553</f>
        <v>t</v>
      </c>
      <c r="U551" cm="1">
        <f t="array" ref="U551:U553">H551:H553</f>
        <v>58.848351999999998</v>
      </c>
      <c r="AC551" cm="1">
        <f t="array" ref="AC551:AC553">I551:I553</f>
        <v>321</v>
      </c>
    </row>
    <row r="552" spans="1:34" x14ac:dyDescent="0.25">
      <c r="A552" t="s">
        <v>1107</v>
      </c>
      <c r="B552" s="5" t="s">
        <v>1349</v>
      </c>
      <c r="C552" s="5" t="s">
        <v>1345</v>
      </c>
      <c r="D552" t="s">
        <v>1101</v>
      </c>
      <c r="E552">
        <v>122</v>
      </c>
      <c r="F552" t="s">
        <v>1108</v>
      </c>
      <c r="G552" s="2" t="s">
        <v>223</v>
      </c>
      <c r="H552">
        <v>70.686802999999998</v>
      </c>
      <c r="I552">
        <v>395</v>
      </c>
      <c r="J552" t="s">
        <v>1294</v>
      </c>
      <c r="K552" t="s">
        <v>1327</v>
      </c>
      <c r="M552" t="str">
        <v>f</v>
      </c>
      <c r="U552">
        <v>70.686802999999998</v>
      </c>
      <c r="AC552">
        <v>395</v>
      </c>
    </row>
    <row r="553" spans="1:34" x14ac:dyDescent="0.25">
      <c r="A553" t="s">
        <v>1109</v>
      </c>
      <c r="B553" s="5" t="s">
        <v>1349</v>
      </c>
      <c r="C553" s="5" t="s">
        <v>1345</v>
      </c>
      <c r="D553" t="s">
        <v>1101</v>
      </c>
      <c r="E553">
        <v>122</v>
      </c>
      <c r="F553" t="s">
        <v>1110</v>
      </c>
      <c r="G553" s="2" t="s">
        <v>222</v>
      </c>
      <c r="H553">
        <v>78.594612999999995</v>
      </c>
      <c r="I553">
        <v>432</v>
      </c>
      <c r="J553" t="s">
        <v>1294</v>
      </c>
      <c r="K553" t="s">
        <v>1327</v>
      </c>
      <c r="M553" t="str">
        <v>t</v>
      </c>
      <c r="U553">
        <v>78.594612999999995</v>
      </c>
      <c r="AC553">
        <v>432</v>
      </c>
    </row>
    <row r="554" spans="1:34" x14ac:dyDescent="0.25">
      <c r="A554" t="s">
        <v>1111</v>
      </c>
      <c r="B554" s="5" t="s">
        <v>1349</v>
      </c>
      <c r="C554" s="5" t="s">
        <v>1345</v>
      </c>
      <c r="D554" t="s">
        <v>1101</v>
      </c>
      <c r="E554">
        <v>177</v>
      </c>
      <c r="F554" t="s">
        <v>1112</v>
      </c>
      <c r="G554" s="2" t="s">
        <v>223</v>
      </c>
      <c r="H554">
        <v>76.721498999999994</v>
      </c>
      <c r="I554">
        <v>429</v>
      </c>
      <c r="J554" t="s">
        <v>1294</v>
      </c>
      <c r="K554" t="s">
        <v>1327</v>
      </c>
      <c r="N554" t="str" cm="1">
        <f t="array" ref="N554:N556">G554:G556</f>
        <v>f</v>
      </c>
      <c r="V554" cm="1">
        <f t="array" ref="V554:V556">H554:H556</f>
        <v>76.721498999999994</v>
      </c>
      <c r="AD554" cm="1">
        <f t="array" ref="AD554:AD556">I554:I556</f>
        <v>429</v>
      </c>
    </row>
    <row r="555" spans="1:34" x14ac:dyDescent="0.25">
      <c r="A555" t="s">
        <v>1113</v>
      </c>
      <c r="B555" s="5" t="s">
        <v>1349</v>
      </c>
      <c r="C555" s="5" t="s">
        <v>1345</v>
      </c>
      <c r="D555" t="s">
        <v>1101</v>
      </c>
      <c r="E555">
        <v>177</v>
      </c>
      <c r="F555" t="s">
        <v>1114</v>
      </c>
      <c r="G555" s="2" t="s">
        <v>223</v>
      </c>
      <c r="H555">
        <v>31.030846</v>
      </c>
      <c r="I555">
        <v>173</v>
      </c>
      <c r="J555" t="s">
        <v>1294</v>
      </c>
      <c r="K555" t="s">
        <v>1327</v>
      </c>
      <c r="N555" t="str">
        <v>f</v>
      </c>
      <c r="V555">
        <v>31.030846</v>
      </c>
      <c r="AD555">
        <v>173</v>
      </c>
    </row>
    <row r="556" spans="1:34" x14ac:dyDescent="0.25">
      <c r="A556" t="s">
        <v>1115</v>
      </c>
      <c r="B556" s="5" t="s">
        <v>1349</v>
      </c>
      <c r="C556" s="5" t="s">
        <v>1345</v>
      </c>
      <c r="D556" t="s">
        <v>1101</v>
      </c>
      <c r="E556">
        <v>177</v>
      </c>
      <c r="F556" t="s">
        <v>1116</v>
      </c>
      <c r="G556" s="2" t="s">
        <v>222</v>
      </c>
      <c r="H556">
        <v>68.551596000000004</v>
      </c>
      <c r="I556">
        <v>369</v>
      </c>
      <c r="J556" t="s">
        <v>1294</v>
      </c>
      <c r="K556" t="s">
        <v>1327</v>
      </c>
      <c r="N556" t="str">
        <v>t</v>
      </c>
      <c r="V556">
        <v>68.551596000000004</v>
      </c>
      <c r="AD556">
        <v>369</v>
      </c>
    </row>
    <row r="557" spans="1:34" x14ac:dyDescent="0.25">
      <c r="A557" t="s">
        <v>1117</v>
      </c>
      <c r="B557" s="5" t="s">
        <v>1349</v>
      </c>
      <c r="C557" s="5" t="s">
        <v>1345</v>
      </c>
      <c r="D557" t="s">
        <v>1101</v>
      </c>
      <c r="E557">
        <v>150</v>
      </c>
      <c r="F557" t="s">
        <v>1118</v>
      </c>
      <c r="G557" s="2" t="s">
        <v>223</v>
      </c>
      <c r="H557">
        <v>41.945684</v>
      </c>
      <c r="I557">
        <v>229</v>
      </c>
      <c r="J557" t="s">
        <v>1294</v>
      </c>
      <c r="K557" t="s">
        <v>1327</v>
      </c>
      <c r="O557" t="str" cm="1">
        <f t="array" ref="O557:O559">G557:G559</f>
        <v>f</v>
      </c>
      <c r="W557" cm="1">
        <f t="array" ref="W557:W559">H557:H559</f>
        <v>41.945684</v>
      </c>
      <c r="AE557" cm="1">
        <f t="array" ref="AE557:AE559">I557:I559</f>
        <v>229</v>
      </c>
    </row>
    <row r="558" spans="1:34" x14ac:dyDescent="0.25">
      <c r="A558" t="s">
        <v>1119</v>
      </c>
      <c r="B558" s="5" t="s">
        <v>1349</v>
      </c>
      <c r="C558" s="5" t="s">
        <v>1345</v>
      </c>
      <c r="D558" t="s">
        <v>1101</v>
      </c>
      <c r="E558">
        <v>150</v>
      </c>
      <c r="F558" t="s">
        <v>1120</v>
      </c>
      <c r="G558" s="2" t="s">
        <v>222</v>
      </c>
      <c r="H558">
        <v>68.376529000000005</v>
      </c>
      <c r="I558">
        <v>352</v>
      </c>
      <c r="J558" t="s">
        <v>1294</v>
      </c>
      <c r="K558" t="s">
        <v>1327</v>
      </c>
      <c r="O558" t="str">
        <v>t</v>
      </c>
      <c r="W558">
        <v>68.376529000000005</v>
      </c>
      <c r="AE558">
        <v>352</v>
      </c>
    </row>
    <row r="559" spans="1:34" x14ac:dyDescent="0.25">
      <c r="A559" t="s">
        <v>1121</v>
      </c>
      <c r="B559" s="5" t="s">
        <v>1349</v>
      </c>
      <c r="C559" s="5" t="s">
        <v>1345</v>
      </c>
      <c r="D559" t="s">
        <v>1101</v>
      </c>
      <c r="E559">
        <v>150</v>
      </c>
      <c r="F559" t="s">
        <v>1122</v>
      </c>
      <c r="G559" s="2" t="s">
        <v>223</v>
      </c>
      <c r="H559">
        <v>63.500228999999997</v>
      </c>
      <c r="I559">
        <v>355</v>
      </c>
      <c r="J559" t="s">
        <v>1294</v>
      </c>
      <c r="K559" t="s">
        <v>1327</v>
      </c>
      <c r="O559" t="str">
        <v>f</v>
      </c>
      <c r="W559">
        <v>63.500228999999997</v>
      </c>
      <c r="AE559">
        <v>355</v>
      </c>
    </row>
    <row r="560" spans="1:34" x14ac:dyDescent="0.25">
      <c r="A560" s="1" t="s">
        <v>1123</v>
      </c>
      <c r="B560" s="5" t="s">
        <v>1349</v>
      </c>
      <c r="C560" s="5" t="s">
        <v>1345</v>
      </c>
      <c r="D560" t="s">
        <v>1101</v>
      </c>
      <c r="E560">
        <v>148</v>
      </c>
      <c r="F560" t="s">
        <v>1124</v>
      </c>
      <c r="G560" s="2" t="s">
        <v>223</v>
      </c>
      <c r="H560">
        <v>53.553358000000003</v>
      </c>
      <c r="I560">
        <v>293</v>
      </c>
      <c r="J560" t="s">
        <v>1294</v>
      </c>
      <c r="K560" t="s">
        <v>1327</v>
      </c>
      <c r="P560" t="str" cm="1">
        <f t="array" ref="P560:P562">G560:G562</f>
        <v>f</v>
      </c>
      <c r="X560" cm="1">
        <f t="array" ref="X560:X562">H560:H562</f>
        <v>53.553358000000003</v>
      </c>
      <c r="AF560" cm="1">
        <f t="array" ref="AF560:AF562">I560:I562</f>
        <v>293</v>
      </c>
    </row>
    <row r="561" spans="1:34" x14ac:dyDescent="0.25">
      <c r="A561" s="1" t="s">
        <v>1125</v>
      </c>
      <c r="B561" s="5" t="s">
        <v>1349</v>
      </c>
      <c r="C561" s="5" t="s">
        <v>1345</v>
      </c>
      <c r="D561" t="s">
        <v>1101</v>
      </c>
      <c r="E561">
        <v>148</v>
      </c>
      <c r="F561" t="s">
        <v>1126</v>
      </c>
      <c r="G561" s="2" t="s">
        <v>223</v>
      </c>
      <c r="H561">
        <v>49.078679999999999</v>
      </c>
      <c r="I561">
        <v>278</v>
      </c>
      <c r="J561" t="s">
        <v>1294</v>
      </c>
      <c r="K561" t="s">
        <v>1327</v>
      </c>
      <c r="P561" t="str">
        <v>f</v>
      </c>
      <c r="X561">
        <v>49.078679999999999</v>
      </c>
      <c r="AF561">
        <v>278</v>
      </c>
    </row>
    <row r="562" spans="1:34" x14ac:dyDescent="0.25">
      <c r="A562" s="1" t="s">
        <v>1127</v>
      </c>
      <c r="B562" s="5" t="s">
        <v>1349</v>
      </c>
      <c r="C562" s="5" t="s">
        <v>1345</v>
      </c>
      <c r="D562" t="s">
        <v>1101</v>
      </c>
      <c r="E562">
        <v>148</v>
      </c>
      <c r="F562" t="s">
        <v>1128</v>
      </c>
      <c r="G562" s="2" t="s">
        <v>223</v>
      </c>
      <c r="H562">
        <v>46.308551000000001</v>
      </c>
      <c r="I562">
        <v>251</v>
      </c>
      <c r="J562" t="s">
        <v>1294</v>
      </c>
      <c r="K562" t="s">
        <v>1327</v>
      </c>
      <c r="P562" t="str">
        <v>f</v>
      </c>
      <c r="X562">
        <v>46.308551000000001</v>
      </c>
      <c r="AF562">
        <v>251</v>
      </c>
    </row>
    <row r="563" spans="1:34" x14ac:dyDescent="0.25">
      <c r="A563" t="s">
        <v>1129</v>
      </c>
      <c r="B563" s="5" t="s">
        <v>1349</v>
      </c>
      <c r="C563" s="5" t="s">
        <v>1345</v>
      </c>
      <c r="D563" t="s">
        <v>1101</v>
      </c>
      <c r="E563">
        <v>149</v>
      </c>
      <c r="F563" t="s">
        <v>1130</v>
      </c>
      <c r="G563" s="2" t="s">
        <v>223</v>
      </c>
      <c r="H563">
        <v>36.859943999999999</v>
      </c>
      <c r="I563">
        <v>204</v>
      </c>
      <c r="J563" t="s">
        <v>1294</v>
      </c>
      <c r="K563" t="s">
        <v>1327</v>
      </c>
      <c r="Q563" t="str" cm="1">
        <f t="array" ref="Q563:Q565">G563:G565</f>
        <v>f</v>
      </c>
      <c r="Y563" cm="1">
        <f t="array" ref="Y563:Y565">H563:H565</f>
        <v>36.859943999999999</v>
      </c>
      <c r="AG563" cm="1">
        <f t="array" ref="AG563:AG565">I563:I565</f>
        <v>204</v>
      </c>
    </row>
    <row r="564" spans="1:34" x14ac:dyDescent="0.25">
      <c r="A564" t="s">
        <v>1131</v>
      </c>
      <c r="B564" s="5" t="s">
        <v>1349</v>
      </c>
      <c r="C564" s="5" t="s">
        <v>1345</v>
      </c>
      <c r="D564" t="s">
        <v>1101</v>
      </c>
      <c r="E564">
        <v>149</v>
      </c>
      <c r="F564" t="s">
        <v>1132</v>
      </c>
      <c r="G564" s="2" t="s">
        <v>223</v>
      </c>
      <c r="H564">
        <v>81.638534000000007</v>
      </c>
      <c r="I564">
        <v>457</v>
      </c>
      <c r="J564" t="s">
        <v>1294</v>
      </c>
      <c r="K564" t="s">
        <v>1327</v>
      </c>
      <c r="Q564" t="str">
        <v>f</v>
      </c>
      <c r="Y564">
        <v>81.638534000000007</v>
      </c>
      <c r="AG564">
        <v>457</v>
      </c>
    </row>
    <row r="565" spans="1:34" x14ac:dyDescent="0.25">
      <c r="A565" t="s">
        <v>1133</v>
      </c>
      <c r="B565" s="5" t="s">
        <v>1349</v>
      </c>
      <c r="C565" s="5" t="s">
        <v>1345</v>
      </c>
      <c r="D565" t="s">
        <v>1101</v>
      </c>
      <c r="E565">
        <v>149</v>
      </c>
      <c r="F565" t="s">
        <v>1134</v>
      </c>
      <c r="G565" s="2" t="s">
        <v>223</v>
      </c>
      <c r="H565">
        <v>68.38852</v>
      </c>
      <c r="I565">
        <v>382</v>
      </c>
      <c r="J565" t="s">
        <v>1294</v>
      </c>
      <c r="K565" t="s">
        <v>1327</v>
      </c>
      <c r="Q565" t="str">
        <v>f</v>
      </c>
      <c r="Y565">
        <v>68.38852</v>
      </c>
      <c r="AG565">
        <v>382</v>
      </c>
    </row>
    <row r="566" spans="1:34" x14ac:dyDescent="0.25">
      <c r="A566" t="s">
        <v>1135</v>
      </c>
      <c r="B566" s="5" t="s">
        <v>1349</v>
      </c>
      <c r="C566" s="5" t="s">
        <v>1345</v>
      </c>
      <c r="D566" t="s">
        <v>1101</v>
      </c>
      <c r="E566">
        <v>153</v>
      </c>
      <c r="F566" t="s">
        <v>1136</v>
      </c>
      <c r="G566" s="2" t="s">
        <v>223</v>
      </c>
      <c r="H566">
        <v>76.957662999999997</v>
      </c>
      <c r="I566">
        <v>432</v>
      </c>
      <c r="J566" t="s">
        <v>1294</v>
      </c>
      <c r="K566" t="s">
        <v>1327</v>
      </c>
      <c r="R566" t="str" cm="1">
        <f t="array" ref="R566:R568">G566:G568</f>
        <v>f</v>
      </c>
      <c r="Z566" cm="1">
        <f t="array" ref="Z566:Z568">H566:H568</f>
        <v>76.957662999999997</v>
      </c>
      <c r="AH566" cm="1">
        <f t="array" ref="AH566:AH568">I566:I568</f>
        <v>432</v>
      </c>
    </row>
    <row r="567" spans="1:34" x14ac:dyDescent="0.25">
      <c r="A567" t="s">
        <v>1137</v>
      </c>
      <c r="B567" s="5" t="s">
        <v>1349</v>
      </c>
      <c r="C567" s="5" t="s">
        <v>1345</v>
      </c>
      <c r="D567" t="s">
        <v>1101</v>
      </c>
      <c r="E567">
        <v>153</v>
      </c>
      <c r="F567" t="s">
        <v>1138</v>
      </c>
      <c r="G567" s="2" t="s">
        <v>222</v>
      </c>
      <c r="H567">
        <v>72.375457999999995</v>
      </c>
      <c r="I567">
        <v>392</v>
      </c>
      <c r="J567" t="s">
        <v>1294</v>
      </c>
      <c r="K567" t="s">
        <v>1327</v>
      </c>
      <c r="R567" t="str">
        <v>t</v>
      </c>
      <c r="Z567">
        <v>72.375457999999995</v>
      </c>
      <c r="AH567">
        <v>392</v>
      </c>
    </row>
    <row r="568" spans="1:34" s="3" customFormat="1" x14ac:dyDescent="0.25">
      <c r="A568" s="3" t="s">
        <v>1139</v>
      </c>
      <c r="B568" s="5" t="s">
        <v>1349</v>
      </c>
      <c r="C568" s="5" t="s">
        <v>1345</v>
      </c>
      <c r="D568" s="3" t="s">
        <v>1101</v>
      </c>
      <c r="E568" s="3">
        <v>153</v>
      </c>
      <c r="F568" s="3" t="s">
        <v>1140</v>
      </c>
      <c r="G568" s="4" t="s">
        <v>223</v>
      </c>
      <c r="H568" s="3">
        <v>62.324894</v>
      </c>
      <c r="I568" s="3">
        <v>338</v>
      </c>
      <c r="J568" s="3" t="s">
        <v>1294</v>
      </c>
      <c r="K568" s="3" t="s">
        <v>1327</v>
      </c>
      <c r="R568" s="3" t="str">
        <v>f</v>
      </c>
      <c r="Z568" s="3">
        <v>62.324894</v>
      </c>
      <c r="AH568" s="3">
        <v>338</v>
      </c>
    </row>
    <row r="569" spans="1:34" s="5" customFormat="1" x14ac:dyDescent="0.25">
      <c r="A569" s="5" t="s">
        <v>1141</v>
      </c>
      <c r="B569" s="5" t="s">
        <v>1350</v>
      </c>
      <c r="C569" s="5" t="s">
        <v>1348</v>
      </c>
      <c r="D569" s="5" t="s">
        <v>1142</v>
      </c>
      <c r="E569" s="5">
        <v>125</v>
      </c>
      <c r="F569" s="5" t="s">
        <v>1143</v>
      </c>
      <c r="G569" s="6" t="s">
        <v>223</v>
      </c>
      <c r="H569" s="5">
        <v>2.8015400000000001</v>
      </c>
      <c r="I569" s="5">
        <v>15</v>
      </c>
      <c r="J569" s="5" t="s">
        <v>1295</v>
      </c>
      <c r="K569" s="5" t="s">
        <v>1327</v>
      </c>
      <c r="L569" s="5" t="str" cm="1">
        <f t="array" ref="L569:L571">G569:G571</f>
        <v>f</v>
      </c>
      <c r="T569" s="5" cm="1">
        <f t="array" ref="T569:T571">H569:H571</f>
        <v>2.8015400000000001</v>
      </c>
      <c r="AB569" s="5" cm="1">
        <f t="array" ref="AB569:AB571">I569:I571</f>
        <v>15</v>
      </c>
    </row>
    <row r="570" spans="1:34" x14ac:dyDescent="0.25">
      <c r="A570" t="s">
        <v>1144</v>
      </c>
      <c r="B570" s="5" t="s">
        <v>1350</v>
      </c>
      <c r="C570" s="5" t="s">
        <v>1348</v>
      </c>
      <c r="D570" t="s">
        <v>1142</v>
      </c>
      <c r="E570">
        <v>125</v>
      </c>
      <c r="F570" t="s">
        <v>1145</v>
      </c>
      <c r="G570" s="2" t="s">
        <v>223</v>
      </c>
      <c r="H570">
        <v>15.824923</v>
      </c>
      <c r="I570">
        <v>95</v>
      </c>
      <c r="J570" t="s">
        <v>1295</v>
      </c>
      <c r="K570" t="s">
        <v>1327</v>
      </c>
      <c r="L570" t="str">
        <v>f</v>
      </c>
      <c r="T570">
        <v>15.824923</v>
      </c>
      <c r="AB570">
        <v>95</v>
      </c>
    </row>
    <row r="571" spans="1:34" x14ac:dyDescent="0.25">
      <c r="A571" t="s">
        <v>1146</v>
      </c>
      <c r="B571" s="5" t="s">
        <v>1350</v>
      </c>
      <c r="C571" s="5" t="s">
        <v>1348</v>
      </c>
      <c r="D571" t="s">
        <v>1142</v>
      </c>
      <c r="E571">
        <v>125</v>
      </c>
      <c r="F571" t="s">
        <v>1147</v>
      </c>
      <c r="G571" s="2" t="s">
        <v>223</v>
      </c>
      <c r="H571">
        <v>1.8468720000000001</v>
      </c>
      <c r="I571">
        <v>12</v>
      </c>
      <c r="J571" t="s">
        <v>1295</v>
      </c>
      <c r="K571" t="s">
        <v>1327</v>
      </c>
      <c r="L571" t="str">
        <v>f</v>
      </c>
      <c r="T571">
        <v>1.8468720000000001</v>
      </c>
      <c r="AB571">
        <v>12</v>
      </c>
    </row>
    <row r="572" spans="1:34" x14ac:dyDescent="0.25">
      <c r="A572" t="s">
        <v>1148</v>
      </c>
      <c r="B572" s="5" t="s">
        <v>1350</v>
      </c>
      <c r="C572" s="5" t="s">
        <v>1348</v>
      </c>
      <c r="D572" t="s">
        <v>1142</v>
      </c>
      <c r="E572">
        <v>135</v>
      </c>
      <c r="F572" t="s">
        <v>1149</v>
      </c>
      <c r="G572" s="2" t="s">
        <v>223</v>
      </c>
      <c r="H572">
        <v>75.300098000000006</v>
      </c>
      <c r="I572">
        <v>440</v>
      </c>
      <c r="J572" t="s">
        <v>1295</v>
      </c>
      <c r="K572" t="s">
        <v>1327</v>
      </c>
      <c r="M572" t="str" cm="1">
        <f t="array" ref="M572:M574">G572:G574</f>
        <v>f</v>
      </c>
      <c r="U572" cm="1">
        <f t="array" ref="U572:U574">H572:H574</f>
        <v>75.300098000000006</v>
      </c>
      <c r="AC572" cm="1">
        <f t="array" ref="AC572:AC574">I572:I574</f>
        <v>440</v>
      </c>
    </row>
    <row r="573" spans="1:34" x14ac:dyDescent="0.25">
      <c r="A573" t="s">
        <v>1150</v>
      </c>
      <c r="B573" s="5" t="s">
        <v>1350</v>
      </c>
      <c r="C573" s="5" t="s">
        <v>1348</v>
      </c>
      <c r="D573" t="s">
        <v>1142</v>
      </c>
      <c r="E573">
        <v>135</v>
      </c>
      <c r="F573" t="s">
        <v>1151</v>
      </c>
      <c r="G573" s="2" t="s">
        <v>223</v>
      </c>
      <c r="H573">
        <v>87.035071000000002</v>
      </c>
      <c r="I573">
        <v>452</v>
      </c>
      <c r="J573" t="s">
        <v>1295</v>
      </c>
      <c r="K573" t="s">
        <v>1327</v>
      </c>
      <c r="M573" t="str">
        <v>f</v>
      </c>
      <c r="U573">
        <v>87.035071000000002</v>
      </c>
      <c r="AC573">
        <v>452</v>
      </c>
    </row>
    <row r="574" spans="1:34" x14ac:dyDescent="0.25">
      <c r="A574" t="s">
        <v>1152</v>
      </c>
      <c r="B574" s="5" t="s">
        <v>1350</v>
      </c>
      <c r="C574" s="5" t="s">
        <v>1348</v>
      </c>
      <c r="D574" t="s">
        <v>1142</v>
      </c>
      <c r="E574">
        <v>135</v>
      </c>
      <c r="F574" t="s">
        <v>1153</v>
      </c>
      <c r="G574" s="2" t="s">
        <v>223</v>
      </c>
      <c r="H574">
        <v>72.013898999999995</v>
      </c>
      <c r="I574">
        <v>402</v>
      </c>
      <c r="J574" t="s">
        <v>1295</v>
      </c>
      <c r="K574" t="s">
        <v>1327</v>
      </c>
      <c r="M574" t="str">
        <v>f</v>
      </c>
      <c r="U574">
        <v>72.013898999999995</v>
      </c>
      <c r="AC574">
        <v>402</v>
      </c>
    </row>
    <row r="575" spans="1:34" x14ac:dyDescent="0.25">
      <c r="A575" t="s">
        <v>1154</v>
      </c>
      <c r="B575" s="5" t="s">
        <v>1350</v>
      </c>
      <c r="C575" s="5" t="s">
        <v>1348</v>
      </c>
      <c r="D575" t="s">
        <v>1142</v>
      </c>
      <c r="E575">
        <v>190</v>
      </c>
      <c r="F575" t="s">
        <v>1155</v>
      </c>
      <c r="G575" s="2" t="s">
        <v>223</v>
      </c>
      <c r="H575">
        <v>73.326179999999994</v>
      </c>
      <c r="I575">
        <v>409</v>
      </c>
      <c r="J575" t="s">
        <v>1295</v>
      </c>
      <c r="K575" t="s">
        <v>1327</v>
      </c>
      <c r="N575" t="str" cm="1">
        <f t="array" ref="N575:N577">G575:G577</f>
        <v>f</v>
      </c>
      <c r="V575" cm="1">
        <f t="array" ref="V575:V577">H575:H577</f>
        <v>73.326179999999994</v>
      </c>
      <c r="AD575" cm="1">
        <f t="array" ref="AD575:AD577">I575:I577</f>
        <v>409</v>
      </c>
    </row>
    <row r="576" spans="1:34" x14ac:dyDescent="0.25">
      <c r="A576" t="s">
        <v>1156</v>
      </c>
      <c r="B576" s="5" t="s">
        <v>1350</v>
      </c>
      <c r="C576" s="5" t="s">
        <v>1348</v>
      </c>
      <c r="D576" t="s">
        <v>1142</v>
      </c>
      <c r="E576">
        <v>190</v>
      </c>
      <c r="F576" t="s">
        <v>1157</v>
      </c>
      <c r="G576" s="2" t="s">
        <v>223</v>
      </c>
      <c r="H576">
        <v>61.665275999999999</v>
      </c>
      <c r="I576">
        <v>351</v>
      </c>
      <c r="J576" t="s">
        <v>1295</v>
      </c>
      <c r="K576" t="s">
        <v>1327</v>
      </c>
      <c r="N576" t="str">
        <v>f</v>
      </c>
      <c r="V576">
        <v>61.665275999999999</v>
      </c>
      <c r="AD576">
        <v>351</v>
      </c>
    </row>
    <row r="577" spans="1:34" x14ac:dyDescent="0.25">
      <c r="A577" t="s">
        <v>1158</v>
      </c>
      <c r="B577" s="5" t="s">
        <v>1350</v>
      </c>
      <c r="C577" s="5" t="s">
        <v>1348</v>
      </c>
      <c r="D577" t="s">
        <v>1142</v>
      </c>
      <c r="E577">
        <v>190</v>
      </c>
      <c r="F577" t="s">
        <v>1159</v>
      </c>
      <c r="G577" s="2" t="s">
        <v>223</v>
      </c>
      <c r="H577">
        <v>93.139128999999997</v>
      </c>
      <c r="I577">
        <v>502</v>
      </c>
      <c r="J577" t="s">
        <v>1295</v>
      </c>
      <c r="K577" t="s">
        <v>1327</v>
      </c>
      <c r="N577" t="str">
        <v>f</v>
      </c>
      <c r="V577">
        <v>93.139128999999997</v>
      </c>
      <c r="AD577">
        <v>502</v>
      </c>
    </row>
    <row r="578" spans="1:34" x14ac:dyDescent="0.25">
      <c r="A578" t="s">
        <v>1160</v>
      </c>
      <c r="B578" s="5" t="s">
        <v>1350</v>
      </c>
      <c r="C578" s="5" t="s">
        <v>1348</v>
      </c>
      <c r="D578" t="s">
        <v>1142</v>
      </c>
      <c r="E578">
        <v>163</v>
      </c>
      <c r="F578" t="s">
        <v>1161</v>
      </c>
      <c r="G578" s="2" t="s">
        <v>223</v>
      </c>
      <c r="H578">
        <v>57.259228</v>
      </c>
      <c r="I578">
        <v>313</v>
      </c>
      <c r="J578" t="s">
        <v>1295</v>
      </c>
      <c r="K578" t="s">
        <v>1327</v>
      </c>
      <c r="O578" t="str" cm="1">
        <f t="array" ref="O578:O580">G578:G580</f>
        <v>f</v>
      </c>
      <c r="W578" cm="1">
        <f t="array" ref="W578:W580">H578:H580</f>
        <v>57.259228</v>
      </c>
      <c r="AE578" cm="1">
        <f t="array" ref="AE578:AE580">I578:I580</f>
        <v>313</v>
      </c>
    </row>
    <row r="579" spans="1:34" x14ac:dyDescent="0.25">
      <c r="A579" t="s">
        <v>1162</v>
      </c>
      <c r="B579" s="5" t="s">
        <v>1350</v>
      </c>
      <c r="C579" s="5" t="s">
        <v>1348</v>
      </c>
      <c r="D579" t="s">
        <v>1142</v>
      </c>
      <c r="E579">
        <v>163</v>
      </c>
      <c r="F579" t="s">
        <v>1163</v>
      </c>
      <c r="G579" s="2" t="s">
        <v>223</v>
      </c>
      <c r="H579">
        <v>89.876385999999997</v>
      </c>
      <c r="I579">
        <v>476</v>
      </c>
      <c r="J579" t="s">
        <v>1295</v>
      </c>
      <c r="K579" t="s">
        <v>1327</v>
      </c>
      <c r="O579" t="str">
        <v>f</v>
      </c>
      <c r="W579">
        <v>89.876385999999997</v>
      </c>
      <c r="AE579">
        <v>476</v>
      </c>
    </row>
    <row r="580" spans="1:34" x14ac:dyDescent="0.25">
      <c r="A580" t="s">
        <v>1164</v>
      </c>
      <c r="B580" s="5" t="s">
        <v>1350</v>
      </c>
      <c r="C580" s="5" t="s">
        <v>1348</v>
      </c>
      <c r="D580" t="s">
        <v>1142</v>
      </c>
      <c r="E580">
        <v>163</v>
      </c>
      <c r="F580" t="s">
        <v>1165</v>
      </c>
      <c r="G580" s="2" t="s">
        <v>223</v>
      </c>
      <c r="H580">
        <v>52.914285</v>
      </c>
      <c r="I580">
        <v>293</v>
      </c>
      <c r="J580" t="s">
        <v>1295</v>
      </c>
      <c r="K580" t="s">
        <v>1327</v>
      </c>
      <c r="O580" t="str">
        <v>f</v>
      </c>
      <c r="W580">
        <v>52.914285</v>
      </c>
      <c r="AE580">
        <v>293</v>
      </c>
    </row>
    <row r="581" spans="1:34" x14ac:dyDescent="0.25">
      <c r="A581" s="1" t="s">
        <v>1166</v>
      </c>
      <c r="B581" s="5" t="s">
        <v>1350</v>
      </c>
      <c r="C581" s="5" t="s">
        <v>1348</v>
      </c>
      <c r="D581" t="s">
        <v>1142</v>
      </c>
      <c r="E581">
        <v>161</v>
      </c>
      <c r="F581" t="s">
        <v>1167</v>
      </c>
      <c r="G581" s="2" t="s">
        <v>223</v>
      </c>
      <c r="H581">
        <v>80.635189999999994</v>
      </c>
      <c r="I581">
        <v>442</v>
      </c>
      <c r="J581" t="s">
        <v>1295</v>
      </c>
      <c r="K581" t="s">
        <v>1327</v>
      </c>
      <c r="P581" t="str" cm="1">
        <f t="array" ref="P581:P583">G581:G583</f>
        <v>f</v>
      </c>
      <c r="X581" cm="1">
        <f t="array" ref="X581:X583">H581:H583</f>
        <v>80.635189999999994</v>
      </c>
      <c r="AF581" cm="1">
        <f t="array" ref="AF581:AF583">I581:I583</f>
        <v>442</v>
      </c>
    </row>
    <row r="582" spans="1:34" x14ac:dyDescent="0.25">
      <c r="A582" s="1" t="s">
        <v>1168</v>
      </c>
      <c r="B582" s="5" t="s">
        <v>1350</v>
      </c>
      <c r="C582" s="5" t="s">
        <v>1348</v>
      </c>
      <c r="D582" t="s">
        <v>1142</v>
      </c>
      <c r="E582">
        <v>161</v>
      </c>
      <c r="F582" t="s">
        <v>1169</v>
      </c>
      <c r="G582" s="2" t="s">
        <v>223</v>
      </c>
      <c r="H582">
        <v>48.474764999999998</v>
      </c>
      <c r="I582">
        <v>280</v>
      </c>
      <c r="J582" t="s">
        <v>1295</v>
      </c>
      <c r="K582" t="s">
        <v>1327</v>
      </c>
      <c r="P582" t="str">
        <v>f</v>
      </c>
      <c r="X582">
        <v>48.474764999999998</v>
      </c>
      <c r="AF582">
        <v>280</v>
      </c>
    </row>
    <row r="583" spans="1:34" x14ac:dyDescent="0.25">
      <c r="A583" s="1" t="s">
        <v>1170</v>
      </c>
      <c r="B583" s="5" t="s">
        <v>1350</v>
      </c>
      <c r="C583" s="5" t="s">
        <v>1348</v>
      </c>
      <c r="D583" t="s">
        <v>1142</v>
      </c>
      <c r="E583">
        <v>161</v>
      </c>
      <c r="F583" t="s">
        <v>1171</v>
      </c>
      <c r="G583" s="2" t="s">
        <v>223</v>
      </c>
      <c r="H583">
        <v>92.682246000000006</v>
      </c>
      <c r="I583">
        <v>502</v>
      </c>
      <c r="J583" t="s">
        <v>1295</v>
      </c>
      <c r="K583" t="s">
        <v>1327</v>
      </c>
      <c r="P583" t="str">
        <v>f</v>
      </c>
      <c r="X583">
        <v>92.682246000000006</v>
      </c>
      <c r="AF583">
        <v>502</v>
      </c>
    </row>
    <row r="584" spans="1:34" x14ac:dyDescent="0.25">
      <c r="A584" t="s">
        <v>1172</v>
      </c>
      <c r="B584" s="5" t="s">
        <v>1350</v>
      </c>
      <c r="C584" s="5" t="s">
        <v>1348</v>
      </c>
      <c r="D584" t="s">
        <v>1142</v>
      </c>
      <c r="E584">
        <v>162</v>
      </c>
      <c r="F584" t="s">
        <v>1173</v>
      </c>
      <c r="G584" s="2" t="s">
        <v>223</v>
      </c>
      <c r="H584">
        <v>49.042994</v>
      </c>
      <c r="I584">
        <v>269</v>
      </c>
      <c r="J584" t="s">
        <v>1295</v>
      </c>
      <c r="K584" t="s">
        <v>1327</v>
      </c>
      <c r="Q584" t="str" cm="1">
        <f t="array" ref="Q584:Q586">G584:G586</f>
        <v>f</v>
      </c>
      <c r="Y584" cm="1">
        <f t="array" ref="Y584:Y586">H584:H586</f>
        <v>49.042994</v>
      </c>
      <c r="AG584" cm="1">
        <f t="array" ref="AG584:AG586">I584:I586</f>
        <v>269</v>
      </c>
    </row>
    <row r="585" spans="1:34" x14ac:dyDescent="0.25">
      <c r="A585" t="s">
        <v>1174</v>
      </c>
      <c r="B585" s="5" t="s">
        <v>1350</v>
      </c>
      <c r="C585" s="5" t="s">
        <v>1348</v>
      </c>
      <c r="D585" t="s">
        <v>1142</v>
      </c>
      <c r="E585">
        <v>162</v>
      </c>
      <c r="F585" t="s">
        <v>1175</v>
      </c>
      <c r="G585" s="2" t="s">
        <v>223</v>
      </c>
      <c r="H585">
        <v>79.219095999999993</v>
      </c>
      <c r="I585">
        <v>422</v>
      </c>
      <c r="J585" t="s">
        <v>1295</v>
      </c>
      <c r="K585" t="s">
        <v>1327</v>
      </c>
      <c r="Q585" t="str">
        <v>f</v>
      </c>
      <c r="Y585">
        <v>79.219095999999993</v>
      </c>
      <c r="AG585">
        <v>422</v>
      </c>
    </row>
    <row r="586" spans="1:34" x14ac:dyDescent="0.25">
      <c r="A586" t="s">
        <v>1176</v>
      </c>
      <c r="B586" s="5" t="s">
        <v>1350</v>
      </c>
      <c r="C586" s="5" t="s">
        <v>1348</v>
      </c>
      <c r="D586" t="s">
        <v>1142</v>
      </c>
      <c r="E586">
        <v>162</v>
      </c>
      <c r="F586" t="s">
        <v>1177</v>
      </c>
      <c r="G586" s="2" t="s">
        <v>223</v>
      </c>
      <c r="H586">
        <v>67.048762999999994</v>
      </c>
      <c r="I586">
        <v>389</v>
      </c>
      <c r="J586" t="s">
        <v>1295</v>
      </c>
      <c r="K586" t="s">
        <v>1327</v>
      </c>
      <c r="Q586" t="str">
        <v>f</v>
      </c>
      <c r="Y586">
        <v>67.048762999999994</v>
      </c>
      <c r="AG586">
        <v>389</v>
      </c>
    </row>
    <row r="587" spans="1:34" x14ac:dyDescent="0.25">
      <c r="A587" t="s">
        <v>1178</v>
      </c>
      <c r="B587" s="5" t="s">
        <v>1350</v>
      </c>
      <c r="C587" s="5" t="s">
        <v>1348</v>
      </c>
      <c r="D587" t="s">
        <v>1142</v>
      </c>
      <c r="E587">
        <v>166</v>
      </c>
      <c r="F587" t="s">
        <v>1179</v>
      </c>
      <c r="G587" s="2" t="s">
        <v>223</v>
      </c>
      <c r="H587">
        <v>57.001711999999998</v>
      </c>
      <c r="I587">
        <v>318</v>
      </c>
      <c r="J587" t="s">
        <v>1295</v>
      </c>
      <c r="K587" t="s">
        <v>1327</v>
      </c>
      <c r="R587" t="str" cm="1">
        <f t="array" ref="R587:R589">G587:G589</f>
        <v>f</v>
      </c>
      <c r="Z587" cm="1">
        <f t="array" ref="Z587:Z589">H587:H589</f>
        <v>57.001711999999998</v>
      </c>
      <c r="AH587" cm="1">
        <f t="array" ref="AH587:AH589">I587:I589</f>
        <v>318</v>
      </c>
    </row>
    <row r="588" spans="1:34" x14ac:dyDescent="0.25">
      <c r="A588" t="s">
        <v>1180</v>
      </c>
      <c r="B588" s="5" t="s">
        <v>1350</v>
      </c>
      <c r="C588" s="5" t="s">
        <v>1348</v>
      </c>
      <c r="D588" t="s">
        <v>1142</v>
      </c>
      <c r="E588">
        <v>166</v>
      </c>
      <c r="F588" t="s">
        <v>1181</v>
      </c>
      <c r="G588" s="2" t="s">
        <v>223</v>
      </c>
      <c r="H588">
        <v>83.550407000000007</v>
      </c>
      <c r="I588">
        <v>467</v>
      </c>
      <c r="J588" t="s">
        <v>1295</v>
      </c>
      <c r="K588" t="s">
        <v>1327</v>
      </c>
      <c r="R588" t="str">
        <v>f</v>
      </c>
      <c r="Z588">
        <v>83.550407000000007</v>
      </c>
      <c r="AH588">
        <v>467</v>
      </c>
    </row>
    <row r="589" spans="1:34" s="3" customFormat="1" x14ac:dyDescent="0.25">
      <c r="A589" s="3" t="s">
        <v>1182</v>
      </c>
      <c r="B589" s="5" t="s">
        <v>1350</v>
      </c>
      <c r="C589" s="5" t="s">
        <v>1348</v>
      </c>
      <c r="D589" s="3" t="s">
        <v>1142</v>
      </c>
      <c r="E589" s="3">
        <v>166</v>
      </c>
      <c r="F589" s="3" t="s">
        <v>1183</v>
      </c>
      <c r="G589" s="4" t="s">
        <v>223</v>
      </c>
      <c r="H589" s="3">
        <v>83.816203999999999</v>
      </c>
      <c r="I589" s="3">
        <v>449</v>
      </c>
      <c r="J589" s="3" t="s">
        <v>1295</v>
      </c>
      <c r="K589" s="3" t="s">
        <v>1327</v>
      </c>
      <c r="R589" s="3" t="str">
        <v>f</v>
      </c>
      <c r="Z589" s="3">
        <v>83.816203999999999</v>
      </c>
      <c r="AH589" s="3">
        <v>449</v>
      </c>
    </row>
    <row r="590" spans="1:34" s="5" customFormat="1" x14ac:dyDescent="0.25">
      <c r="A590" s="5" t="s">
        <v>1184</v>
      </c>
      <c r="B590" s="5" t="s">
        <v>1350</v>
      </c>
      <c r="C590" s="5" t="s">
        <v>1346</v>
      </c>
      <c r="D590" s="5" t="s">
        <v>1185</v>
      </c>
      <c r="E590" s="5">
        <v>82</v>
      </c>
      <c r="F590" s="5" t="s">
        <v>1186</v>
      </c>
      <c r="G590" s="6" t="s">
        <v>222</v>
      </c>
      <c r="H590" s="5">
        <v>2.2533889999999999</v>
      </c>
      <c r="I590" s="5">
        <v>12</v>
      </c>
      <c r="J590" s="5" t="s">
        <v>1296</v>
      </c>
      <c r="K590" s="5" t="s">
        <v>1327</v>
      </c>
      <c r="L590" s="5" t="str" cm="1">
        <f t="array" ref="L590:L592">G590:G592</f>
        <v>t</v>
      </c>
      <c r="T590" s="5" cm="1">
        <f t="array" ref="T590:T592">H590:H592</f>
        <v>2.2533889999999999</v>
      </c>
      <c r="AB590" s="5" cm="1">
        <f t="array" ref="AB590:AB592">I590:I592</f>
        <v>12</v>
      </c>
    </row>
    <row r="591" spans="1:34" x14ac:dyDescent="0.25">
      <c r="A591" t="s">
        <v>1187</v>
      </c>
      <c r="B591" s="5" t="s">
        <v>1350</v>
      </c>
      <c r="C591" s="5" t="s">
        <v>1346</v>
      </c>
      <c r="D591" t="s">
        <v>1185</v>
      </c>
      <c r="E591">
        <v>82</v>
      </c>
      <c r="F591" t="s">
        <v>1188</v>
      </c>
      <c r="G591" s="2" t="s">
        <v>222</v>
      </c>
      <c r="H591">
        <v>15.765915</v>
      </c>
      <c r="I591">
        <v>100</v>
      </c>
      <c r="J591" t="s">
        <v>1296</v>
      </c>
      <c r="K591" t="s">
        <v>1327</v>
      </c>
      <c r="L591" t="str">
        <v>t</v>
      </c>
      <c r="T591">
        <v>15.765915</v>
      </c>
      <c r="AB591">
        <v>100</v>
      </c>
    </row>
    <row r="592" spans="1:34" x14ac:dyDescent="0.25">
      <c r="A592" t="s">
        <v>1189</v>
      </c>
      <c r="B592" s="5" t="s">
        <v>1350</v>
      </c>
      <c r="C592" s="5" t="s">
        <v>1346</v>
      </c>
      <c r="D592" t="s">
        <v>1185</v>
      </c>
      <c r="E592">
        <v>82</v>
      </c>
      <c r="F592" t="s">
        <v>1186</v>
      </c>
      <c r="G592" s="2" t="s">
        <v>222</v>
      </c>
      <c r="H592">
        <v>2.199595</v>
      </c>
      <c r="I592">
        <v>12</v>
      </c>
      <c r="J592" t="s">
        <v>1296</v>
      </c>
      <c r="K592" t="s">
        <v>1327</v>
      </c>
      <c r="L592" t="str">
        <v>t</v>
      </c>
      <c r="T592">
        <v>2.199595</v>
      </c>
      <c r="AB592">
        <v>12</v>
      </c>
    </row>
    <row r="593" spans="1:34" x14ac:dyDescent="0.25">
      <c r="A593" t="s">
        <v>1190</v>
      </c>
      <c r="B593" s="5" t="s">
        <v>1350</v>
      </c>
      <c r="C593" s="5" t="s">
        <v>1346</v>
      </c>
      <c r="D593" t="s">
        <v>1185</v>
      </c>
      <c r="E593">
        <v>92</v>
      </c>
      <c r="F593" t="s">
        <v>1191</v>
      </c>
      <c r="G593" s="2" t="s">
        <v>223</v>
      </c>
      <c r="H593">
        <v>75.531345999999999</v>
      </c>
      <c r="I593">
        <v>419</v>
      </c>
      <c r="J593" t="s">
        <v>1296</v>
      </c>
      <c r="K593" t="s">
        <v>1327</v>
      </c>
      <c r="M593" t="str" cm="1">
        <f t="array" ref="M593:M595">G593:G595</f>
        <v>f</v>
      </c>
      <c r="U593" cm="1">
        <f t="array" ref="U593:U595">H593:H595</f>
        <v>75.531345999999999</v>
      </c>
      <c r="AC593" cm="1">
        <f t="array" ref="AC593:AC595">I593:I595</f>
        <v>419</v>
      </c>
    </row>
    <row r="594" spans="1:34" x14ac:dyDescent="0.25">
      <c r="A594" t="s">
        <v>1192</v>
      </c>
      <c r="B594" s="5" t="s">
        <v>1350</v>
      </c>
      <c r="C594" s="5" t="s">
        <v>1346</v>
      </c>
      <c r="D594" t="s">
        <v>1185</v>
      </c>
      <c r="E594">
        <v>92</v>
      </c>
      <c r="F594" t="s">
        <v>1193</v>
      </c>
      <c r="G594" s="2" t="s">
        <v>223</v>
      </c>
      <c r="H594">
        <v>71.670693999999997</v>
      </c>
      <c r="I594">
        <v>391</v>
      </c>
      <c r="J594" t="s">
        <v>1296</v>
      </c>
      <c r="K594" t="s">
        <v>1327</v>
      </c>
      <c r="M594" t="str">
        <v>f</v>
      </c>
      <c r="U594">
        <v>71.670693999999997</v>
      </c>
      <c r="AC594">
        <v>391</v>
      </c>
    </row>
    <row r="595" spans="1:34" x14ac:dyDescent="0.25">
      <c r="A595" t="s">
        <v>1194</v>
      </c>
      <c r="B595" s="5" t="s">
        <v>1350</v>
      </c>
      <c r="C595" s="5" t="s">
        <v>1346</v>
      </c>
      <c r="D595" t="s">
        <v>1185</v>
      </c>
      <c r="E595">
        <v>92</v>
      </c>
      <c r="F595" t="s">
        <v>1195</v>
      </c>
      <c r="G595" s="2" t="s">
        <v>223</v>
      </c>
      <c r="H595">
        <v>56.176482999999998</v>
      </c>
      <c r="I595">
        <v>302</v>
      </c>
      <c r="J595" t="s">
        <v>1296</v>
      </c>
      <c r="K595" t="s">
        <v>1327</v>
      </c>
      <c r="M595" t="str">
        <v>f</v>
      </c>
      <c r="U595">
        <v>56.176482999999998</v>
      </c>
      <c r="AC595">
        <v>302</v>
      </c>
    </row>
    <row r="596" spans="1:34" x14ac:dyDescent="0.25">
      <c r="A596" t="s">
        <v>1196</v>
      </c>
      <c r="B596" s="5" t="s">
        <v>1350</v>
      </c>
      <c r="C596" s="5" t="s">
        <v>1346</v>
      </c>
      <c r="D596" t="s">
        <v>1185</v>
      </c>
      <c r="E596">
        <v>147</v>
      </c>
      <c r="F596" t="s">
        <v>1197</v>
      </c>
      <c r="G596" s="2" t="s">
        <v>223</v>
      </c>
      <c r="H596">
        <v>55.416122000000001</v>
      </c>
      <c r="I596">
        <v>307</v>
      </c>
      <c r="J596" t="s">
        <v>1296</v>
      </c>
      <c r="K596" t="s">
        <v>1327</v>
      </c>
      <c r="N596" t="str" cm="1">
        <f t="array" ref="N596:N598">G596:G598</f>
        <v>f</v>
      </c>
      <c r="V596" cm="1">
        <f t="array" ref="V596:V598">H596:H598</f>
        <v>55.416122000000001</v>
      </c>
      <c r="AD596" cm="1">
        <f t="array" ref="AD596:AD598">I596:I598</f>
        <v>307</v>
      </c>
    </row>
    <row r="597" spans="1:34" x14ac:dyDescent="0.25">
      <c r="A597" t="s">
        <v>1198</v>
      </c>
      <c r="B597" s="5" t="s">
        <v>1350</v>
      </c>
      <c r="C597" s="5" t="s">
        <v>1346</v>
      </c>
      <c r="D597" t="s">
        <v>1185</v>
      </c>
      <c r="E597">
        <v>147</v>
      </c>
      <c r="F597" t="s">
        <v>1199</v>
      </c>
      <c r="G597" s="2" t="s">
        <v>223</v>
      </c>
      <c r="H597">
        <v>71.559956</v>
      </c>
      <c r="I597">
        <v>397</v>
      </c>
      <c r="J597" t="s">
        <v>1296</v>
      </c>
      <c r="K597" t="s">
        <v>1327</v>
      </c>
      <c r="N597" t="str">
        <v>f</v>
      </c>
      <c r="V597">
        <v>71.559956</v>
      </c>
      <c r="AD597">
        <v>397</v>
      </c>
    </row>
    <row r="598" spans="1:34" x14ac:dyDescent="0.25">
      <c r="A598" t="s">
        <v>1200</v>
      </c>
      <c r="B598" s="5" t="s">
        <v>1350</v>
      </c>
      <c r="C598" s="5" t="s">
        <v>1346</v>
      </c>
      <c r="D598" t="s">
        <v>1185</v>
      </c>
      <c r="E598">
        <v>147</v>
      </c>
      <c r="F598" t="s">
        <v>1201</v>
      </c>
      <c r="G598" s="2" t="s">
        <v>223</v>
      </c>
      <c r="H598">
        <v>39.878022999999999</v>
      </c>
      <c r="I598">
        <v>231</v>
      </c>
      <c r="J598" t="s">
        <v>1296</v>
      </c>
      <c r="K598" t="s">
        <v>1327</v>
      </c>
      <c r="N598" t="str">
        <v>f</v>
      </c>
      <c r="V598">
        <v>39.878022999999999</v>
      </c>
      <c r="AD598">
        <v>231</v>
      </c>
    </row>
    <row r="599" spans="1:34" x14ac:dyDescent="0.25">
      <c r="A599" t="s">
        <v>1202</v>
      </c>
      <c r="B599" s="5" t="s">
        <v>1350</v>
      </c>
      <c r="C599" s="5" t="s">
        <v>1346</v>
      </c>
      <c r="D599" t="s">
        <v>1185</v>
      </c>
      <c r="E599">
        <v>120</v>
      </c>
      <c r="F599" t="s">
        <v>1203</v>
      </c>
      <c r="G599" s="2" t="s">
        <v>223</v>
      </c>
      <c r="H599">
        <v>54.911563000000001</v>
      </c>
      <c r="I599">
        <v>309</v>
      </c>
      <c r="J599" t="s">
        <v>1296</v>
      </c>
      <c r="K599" t="s">
        <v>1327</v>
      </c>
      <c r="O599" t="str" cm="1">
        <f t="array" ref="O599:O601">G599:G601</f>
        <v>f</v>
      </c>
      <c r="W599" cm="1">
        <f t="array" ref="W599:W601">H599:H601</f>
        <v>54.911563000000001</v>
      </c>
      <c r="AE599" cm="1">
        <f t="array" ref="AE599:AE601">I599:I601</f>
        <v>309</v>
      </c>
    </row>
    <row r="600" spans="1:34" x14ac:dyDescent="0.25">
      <c r="A600" t="s">
        <v>1204</v>
      </c>
      <c r="B600" s="5" t="s">
        <v>1350</v>
      </c>
      <c r="C600" s="5" t="s">
        <v>1346</v>
      </c>
      <c r="D600" t="s">
        <v>1185</v>
      </c>
      <c r="E600">
        <v>120</v>
      </c>
      <c r="F600" t="s">
        <v>1205</v>
      </c>
      <c r="G600" s="2" t="s">
        <v>223</v>
      </c>
      <c r="H600">
        <v>52.872042</v>
      </c>
      <c r="I600">
        <v>291</v>
      </c>
      <c r="J600" t="s">
        <v>1296</v>
      </c>
      <c r="K600" t="s">
        <v>1327</v>
      </c>
      <c r="O600" t="str">
        <v>f</v>
      </c>
      <c r="W600">
        <v>52.872042</v>
      </c>
      <c r="AE600">
        <v>291</v>
      </c>
    </row>
    <row r="601" spans="1:34" x14ac:dyDescent="0.25">
      <c r="A601" t="s">
        <v>1206</v>
      </c>
      <c r="B601" s="5" t="s">
        <v>1350</v>
      </c>
      <c r="C601" s="5" t="s">
        <v>1346</v>
      </c>
      <c r="D601" t="s">
        <v>1185</v>
      </c>
      <c r="E601">
        <v>120</v>
      </c>
      <c r="F601" t="s">
        <v>1207</v>
      </c>
      <c r="G601" s="2" t="s">
        <v>222</v>
      </c>
      <c r="H601">
        <v>55.058179000000003</v>
      </c>
      <c r="I601">
        <v>293</v>
      </c>
      <c r="J601" t="s">
        <v>1296</v>
      </c>
      <c r="K601" t="s">
        <v>1327</v>
      </c>
      <c r="O601" t="str">
        <v>t</v>
      </c>
      <c r="W601">
        <v>55.058179000000003</v>
      </c>
      <c r="AE601">
        <v>293</v>
      </c>
    </row>
    <row r="602" spans="1:34" x14ac:dyDescent="0.25">
      <c r="A602" s="1" t="s">
        <v>1208</v>
      </c>
      <c r="B602" s="5" t="s">
        <v>1350</v>
      </c>
      <c r="C602" s="5" t="s">
        <v>1346</v>
      </c>
      <c r="D602" t="s">
        <v>1185</v>
      </c>
      <c r="E602">
        <v>118</v>
      </c>
      <c r="F602" t="s">
        <v>1209</v>
      </c>
      <c r="G602" s="2" t="s">
        <v>223</v>
      </c>
      <c r="H602">
        <v>65.041582000000005</v>
      </c>
      <c r="I602">
        <v>370</v>
      </c>
      <c r="J602" t="s">
        <v>1296</v>
      </c>
      <c r="K602" t="s">
        <v>1327</v>
      </c>
      <c r="P602" t="str" cm="1">
        <f t="array" ref="P602:P604">G602:G604</f>
        <v>f</v>
      </c>
      <c r="X602" cm="1">
        <f t="array" ref="X602:X604">H602:H604</f>
        <v>65.041582000000005</v>
      </c>
      <c r="AF602" cm="1">
        <f t="array" ref="AF602:AF604">I602:I604</f>
        <v>370</v>
      </c>
    </row>
    <row r="603" spans="1:34" x14ac:dyDescent="0.25">
      <c r="A603" s="1" t="s">
        <v>1210</v>
      </c>
      <c r="B603" s="5" t="s">
        <v>1350</v>
      </c>
      <c r="C603" s="5" t="s">
        <v>1346</v>
      </c>
      <c r="D603" t="s">
        <v>1185</v>
      </c>
      <c r="E603">
        <v>118</v>
      </c>
      <c r="F603" t="s">
        <v>1211</v>
      </c>
      <c r="G603" s="2" t="s">
        <v>223</v>
      </c>
      <c r="H603">
        <v>62.984152999999999</v>
      </c>
      <c r="I603">
        <v>347</v>
      </c>
      <c r="J603" t="s">
        <v>1296</v>
      </c>
      <c r="K603" t="s">
        <v>1327</v>
      </c>
      <c r="P603" t="str">
        <v>f</v>
      </c>
      <c r="X603">
        <v>62.984152999999999</v>
      </c>
      <c r="AF603">
        <v>347</v>
      </c>
    </row>
    <row r="604" spans="1:34" x14ac:dyDescent="0.25">
      <c r="A604" s="1" t="s">
        <v>1212</v>
      </c>
      <c r="B604" s="5" t="s">
        <v>1350</v>
      </c>
      <c r="C604" s="5" t="s">
        <v>1346</v>
      </c>
      <c r="D604" t="s">
        <v>1185</v>
      </c>
      <c r="E604">
        <v>118</v>
      </c>
      <c r="F604" t="s">
        <v>1213</v>
      </c>
      <c r="G604" s="2" t="s">
        <v>223</v>
      </c>
      <c r="H604">
        <v>47.074854000000002</v>
      </c>
      <c r="I604">
        <v>264</v>
      </c>
      <c r="J604" t="s">
        <v>1296</v>
      </c>
      <c r="K604" t="s">
        <v>1327</v>
      </c>
      <c r="P604" t="str">
        <v>f</v>
      </c>
      <c r="X604">
        <v>47.074854000000002</v>
      </c>
      <c r="AF604">
        <v>264</v>
      </c>
    </row>
    <row r="605" spans="1:34" x14ac:dyDescent="0.25">
      <c r="A605" t="s">
        <v>1214</v>
      </c>
      <c r="B605" s="5" t="s">
        <v>1350</v>
      </c>
      <c r="C605" s="5" t="s">
        <v>1346</v>
      </c>
      <c r="D605" t="s">
        <v>1185</v>
      </c>
      <c r="E605">
        <v>119</v>
      </c>
      <c r="F605" t="s">
        <v>1215</v>
      </c>
      <c r="G605" s="2" t="s">
        <v>223</v>
      </c>
      <c r="H605">
        <v>45.552405999999998</v>
      </c>
      <c r="I605">
        <v>249</v>
      </c>
      <c r="J605" t="s">
        <v>1296</v>
      </c>
      <c r="K605" t="s">
        <v>1327</v>
      </c>
      <c r="Q605" t="str" cm="1">
        <f t="array" ref="Q605:Q607">G605:G607</f>
        <v>f</v>
      </c>
      <c r="Y605" cm="1">
        <f t="array" ref="Y605:Y607">H605:H607</f>
        <v>45.552405999999998</v>
      </c>
      <c r="AG605" cm="1">
        <f t="array" ref="AG605:AG607">I605:I607</f>
        <v>249</v>
      </c>
    </row>
    <row r="606" spans="1:34" x14ac:dyDescent="0.25">
      <c r="A606" t="s">
        <v>1216</v>
      </c>
      <c r="B606" s="5" t="s">
        <v>1350</v>
      </c>
      <c r="C606" s="5" t="s">
        <v>1346</v>
      </c>
      <c r="D606" t="s">
        <v>1185</v>
      </c>
      <c r="E606">
        <v>119</v>
      </c>
      <c r="F606" t="s">
        <v>1217</v>
      </c>
      <c r="G606" s="2" t="s">
        <v>223</v>
      </c>
      <c r="H606">
        <v>62.607804999999999</v>
      </c>
      <c r="I606">
        <v>349</v>
      </c>
      <c r="J606" t="s">
        <v>1296</v>
      </c>
      <c r="K606" t="s">
        <v>1327</v>
      </c>
      <c r="Q606" t="str">
        <v>f</v>
      </c>
      <c r="Y606">
        <v>62.607804999999999</v>
      </c>
      <c r="AG606">
        <v>349</v>
      </c>
    </row>
    <row r="607" spans="1:34" x14ac:dyDescent="0.25">
      <c r="A607" t="s">
        <v>1218</v>
      </c>
      <c r="B607" s="5" t="s">
        <v>1350</v>
      </c>
      <c r="C607" s="5" t="s">
        <v>1346</v>
      </c>
      <c r="D607" t="s">
        <v>1185</v>
      </c>
      <c r="E607">
        <v>119</v>
      </c>
      <c r="F607" t="s">
        <v>1219</v>
      </c>
      <c r="G607" s="2" t="s">
        <v>222</v>
      </c>
      <c r="H607">
        <v>41.907913000000001</v>
      </c>
      <c r="I607">
        <v>245</v>
      </c>
      <c r="J607" t="s">
        <v>1296</v>
      </c>
      <c r="K607" t="s">
        <v>1327</v>
      </c>
      <c r="Q607" t="str">
        <v>t</v>
      </c>
      <c r="Y607">
        <v>41.907913000000001</v>
      </c>
      <c r="AG607">
        <v>245</v>
      </c>
    </row>
    <row r="608" spans="1:34" x14ac:dyDescent="0.25">
      <c r="A608" t="s">
        <v>1220</v>
      </c>
      <c r="B608" s="5" t="s">
        <v>1350</v>
      </c>
      <c r="C608" s="5" t="s">
        <v>1346</v>
      </c>
      <c r="D608" t="s">
        <v>1185</v>
      </c>
      <c r="E608">
        <v>123</v>
      </c>
      <c r="F608" t="s">
        <v>1221</v>
      </c>
      <c r="G608" s="2" t="s">
        <v>222</v>
      </c>
      <c r="H608">
        <v>70.484195999999997</v>
      </c>
      <c r="I608">
        <v>388</v>
      </c>
      <c r="J608" t="s">
        <v>1296</v>
      </c>
      <c r="K608" t="s">
        <v>1327</v>
      </c>
      <c r="R608" t="str" cm="1">
        <f t="array" ref="R608:R610">G608:G610</f>
        <v>t</v>
      </c>
      <c r="Z608" cm="1">
        <f t="array" ref="Z608:Z610">H608:H610</f>
        <v>70.484195999999997</v>
      </c>
      <c r="AH608" cm="1">
        <f t="array" ref="AH608:AH610">I608:I610</f>
        <v>388</v>
      </c>
    </row>
    <row r="609" spans="1:34" x14ac:dyDescent="0.25">
      <c r="A609" t="s">
        <v>1222</v>
      </c>
      <c r="B609" s="5" t="s">
        <v>1350</v>
      </c>
      <c r="C609" s="5" t="s">
        <v>1346</v>
      </c>
      <c r="D609" t="s">
        <v>1185</v>
      </c>
      <c r="E609">
        <v>123</v>
      </c>
      <c r="F609" t="s">
        <v>1223</v>
      </c>
      <c r="G609" s="2" t="s">
        <v>223</v>
      </c>
      <c r="H609">
        <v>37.623023000000003</v>
      </c>
      <c r="I609">
        <v>206</v>
      </c>
      <c r="J609" t="s">
        <v>1296</v>
      </c>
      <c r="K609" t="s">
        <v>1327</v>
      </c>
      <c r="R609" t="str">
        <v>f</v>
      </c>
      <c r="Z609">
        <v>37.623023000000003</v>
      </c>
      <c r="AH609">
        <v>206</v>
      </c>
    </row>
    <row r="610" spans="1:34" s="3" customFormat="1" x14ac:dyDescent="0.25">
      <c r="A610" s="3" t="s">
        <v>1224</v>
      </c>
      <c r="B610" s="5" t="s">
        <v>1350</v>
      </c>
      <c r="C610" s="5" t="s">
        <v>1346</v>
      </c>
      <c r="D610" s="3" t="s">
        <v>1185</v>
      </c>
      <c r="E610" s="3">
        <v>123</v>
      </c>
      <c r="F610" s="3" t="s">
        <v>1225</v>
      </c>
      <c r="G610" s="4" t="s">
        <v>223</v>
      </c>
      <c r="H610" s="3">
        <v>87.791101999999995</v>
      </c>
      <c r="I610" s="3">
        <v>502</v>
      </c>
      <c r="J610" s="3" t="s">
        <v>1296</v>
      </c>
      <c r="K610" s="3" t="s">
        <v>1327</v>
      </c>
      <c r="R610" s="3" t="str">
        <v>f</v>
      </c>
      <c r="Z610" s="3">
        <v>87.791101999999995</v>
      </c>
      <c r="AH610" s="3">
        <v>502</v>
      </c>
    </row>
    <row r="611" spans="1:34" s="5" customFormat="1" x14ac:dyDescent="0.25">
      <c r="A611" s="5" t="s">
        <v>1226</v>
      </c>
      <c r="B611" s="5" t="s">
        <v>1349</v>
      </c>
      <c r="C611" s="5" t="s">
        <v>1345</v>
      </c>
      <c r="D611" s="5" t="s">
        <v>1227</v>
      </c>
      <c r="E611" s="5">
        <v>84</v>
      </c>
      <c r="F611" s="5" t="s">
        <v>1228</v>
      </c>
      <c r="G611" s="6" t="s">
        <v>222</v>
      </c>
      <c r="H611" s="5">
        <v>6.700812</v>
      </c>
      <c r="I611" s="5">
        <v>40</v>
      </c>
      <c r="J611" s="5">
        <v>10</v>
      </c>
      <c r="K611" s="5" t="s">
        <v>1327</v>
      </c>
      <c r="L611" s="5" t="str" cm="1">
        <f t="array" ref="L611:L613">G611:G613</f>
        <v>t</v>
      </c>
      <c r="T611" s="5" cm="1">
        <f t="array" ref="T611:T613">H611:H613</f>
        <v>6.700812</v>
      </c>
      <c r="AB611" s="5" cm="1">
        <f t="array" ref="AB611:AB613">I611:I613</f>
        <v>40</v>
      </c>
    </row>
    <row r="612" spans="1:34" x14ac:dyDescent="0.25">
      <c r="A612" t="s">
        <v>1229</v>
      </c>
      <c r="B612" s="5" t="s">
        <v>1349</v>
      </c>
      <c r="C612" s="5" t="s">
        <v>1345</v>
      </c>
      <c r="D612" t="s">
        <v>1227</v>
      </c>
      <c r="E612">
        <v>84</v>
      </c>
      <c r="F612" t="s">
        <v>1230</v>
      </c>
      <c r="G612" s="2" t="s">
        <v>222</v>
      </c>
      <c r="H612">
        <v>10.187811999999999</v>
      </c>
      <c r="I612">
        <v>55</v>
      </c>
      <c r="J612">
        <v>10</v>
      </c>
      <c r="K612" t="s">
        <v>1327</v>
      </c>
      <c r="L612" t="str">
        <v>t</v>
      </c>
      <c r="T612">
        <v>10.187811999999999</v>
      </c>
      <c r="AB612">
        <v>55</v>
      </c>
    </row>
    <row r="613" spans="1:34" x14ac:dyDescent="0.25">
      <c r="A613" t="s">
        <v>1231</v>
      </c>
      <c r="B613" s="5" t="s">
        <v>1349</v>
      </c>
      <c r="C613" s="5" t="s">
        <v>1345</v>
      </c>
      <c r="D613" t="s">
        <v>1227</v>
      </c>
      <c r="E613">
        <v>84</v>
      </c>
      <c r="F613" t="s">
        <v>1232</v>
      </c>
      <c r="G613" s="2" t="s">
        <v>222</v>
      </c>
      <c r="H613">
        <v>5.3329319999999996</v>
      </c>
      <c r="I613">
        <v>36</v>
      </c>
      <c r="J613">
        <v>10</v>
      </c>
      <c r="K613" t="s">
        <v>1327</v>
      </c>
      <c r="L613" t="str">
        <v>t</v>
      </c>
      <c r="T613">
        <v>5.3329319999999996</v>
      </c>
      <c r="AB613">
        <v>36</v>
      </c>
    </row>
    <row r="614" spans="1:34" x14ac:dyDescent="0.25">
      <c r="A614" t="s">
        <v>1233</v>
      </c>
      <c r="B614" s="5" t="s">
        <v>1349</v>
      </c>
      <c r="C614" s="5" t="s">
        <v>1345</v>
      </c>
      <c r="D614" t="s">
        <v>1227</v>
      </c>
      <c r="E614">
        <v>94</v>
      </c>
      <c r="F614" t="s">
        <v>1234</v>
      </c>
      <c r="G614" s="2" t="s">
        <v>222</v>
      </c>
      <c r="H614">
        <v>51.039625000000001</v>
      </c>
      <c r="I614">
        <v>283</v>
      </c>
      <c r="J614">
        <v>10</v>
      </c>
      <c r="K614" t="s">
        <v>1327</v>
      </c>
      <c r="M614" t="str" cm="1">
        <f t="array" ref="M614:M616">G614:G616</f>
        <v>t</v>
      </c>
      <c r="U614" cm="1">
        <f t="array" ref="U614:U616">H614:H616</f>
        <v>51.039625000000001</v>
      </c>
      <c r="AC614" cm="1">
        <f t="array" ref="AC614:AC616">I614:I616</f>
        <v>283</v>
      </c>
    </row>
    <row r="615" spans="1:34" x14ac:dyDescent="0.25">
      <c r="A615" t="s">
        <v>1235</v>
      </c>
      <c r="B615" s="5" t="s">
        <v>1349</v>
      </c>
      <c r="C615" s="5" t="s">
        <v>1345</v>
      </c>
      <c r="D615" t="s">
        <v>1227</v>
      </c>
      <c r="E615">
        <v>94</v>
      </c>
      <c r="F615" t="s">
        <v>1236</v>
      </c>
      <c r="G615" s="2" t="s">
        <v>222</v>
      </c>
      <c r="H615">
        <v>59.377319</v>
      </c>
      <c r="I615">
        <v>328</v>
      </c>
      <c r="J615">
        <v>10</v>
      </c>
      <c r="K615" t="s">
        <v>1327</v>
      </c>
      <c r="M615" t="str">
        <v>t</v>
      </c>
      <c r="U615">
        <v>59.377319</v>
      </c>
      <c r="AC615">
        <v>328</v>
      </c>
    </row>
    <row r="616" spans="1:34" x14ac:dyDescent="0.25">
      <c r="A616" t="s">
        <v>1237</v>
      </c>
      <c r="B616" s="5" t="s">
        <v>1349</v>
      </c>
      <c r="C616" s="5" t="s">
        <v>1345</v>
      </c>
      <c r="D616" t="s">
        <v>1227</v>
      </c>
      <c r="E616">
        <v>94</v>
      </c>
      <c r="F616" t="s">
        <v>1238</v>
      </c>
      <c r="G616" s="2" t="s">
        <v>223</v>
      </c>
      <c r="H616">
        <v>77.648294000000007</v>
      </c>
      <c r="I616">
        <v>420</v>
      </c>
      <c r="J616">
        <v>10</v>
      </c>
      <c r="K616" t="s">
        <v>1327</v>
      </c>
      <c r="M616" t="str">
        <v>f</v>
      </c>
      <c r="U616">
        <v>77.648294000000007</v>
      </c>
      <c r="AC616">
        <v>420</v>
      </c>
    </row>
    <row r="617" spans="1:34" x14ac:dyDescent="0.25">
      <c r="A617" t="s">
        <v>1239</v>
      </c>
      <c r="B617" s="5" t="s">
        <v>1349</v>
      </c>
      <c r="C617" s="5" t="s">
        <v>1345</v>
      </c>
      <c r="D617" t="s">
        <v>1227</v>
      </c>
      <c r="E617">
        <v>149</v>
      </c>
      <c r="F617" t="s">
        <v>1240</v>
      </c>
      <c r="G617" s="2" t="s">
        <v>222</v>
      </c>
      <c r="H617">
        <v>44.325780999999999</v>
      </c>
      <c r="I617">
        <v>242</v>
      </c>
      <c r="J617">
        <v>10</v>
      </c>
      <c r="K617" t="s">
        <v>1327</v>
      </c>
      <c r="N617" t="str" cm="1">
        <f t="array" ref="N617:N619">G617:G619</f>
        <v>t</v>
      </c>
      <c r="V617" cm="1">
        <f t="array" ref="V617:V619">H617:H619</f>
        <v>44.325780999999999</v>
      </c>
      <c r="AD617" cm="1">
        <f t="array" ref="AD617:AD619">I617:I619</f>
        <v>242</v>
      </c>
    </row>
    <row r="618" spans="1:34" x14ac:dyDescent="0.25">
      <c r="A618" t="s">
        <v>1241</v>
      </c>
      <c r="B618" s="5" t="s">
        <v>1349</v>
      </c>
      <c r="C618" s="5" t="s">
        <v>1345</v>
      </c>
      <c r="D618" t="s">
        <v>1227</v>
      </c>
      <c r="E618">
        <v>149</v>
      </c>
      <c r="F618" t="s">
        <v>1242</v>
      </c>
      <c r="G618" s="2" t="s">
        <v>222</v>
      </c>
      <c r="H618">
        <v>46.129753000000001</v>
      </c>
      <c r="I618">
        <v>252</v>
      </c>
      <c r="J618">
        <v>10</v>
      </c>
      <c r="K618" t="s">
        <v>1327</v>
      </c>
      <c r="N618" t="str">
        <v>t</v>
      </c>
      <c r="V618">
        <v>46.129753000000001</v>
      </c>
      <c r="AD618">
        <v>252</v>
      </c>
    </row>
    <row r="619" spans="1:34" x14ac:dyDescent="0.25">
      <c r="A619" t="s">
        <v>1243</v>
      </c>
      <c r="B619" s="5" t="s">
        <v>1349</v>
      </c>
      <c r="C619" s="5" t="s">
        <v>1345</v>
      </c>
      <c r="D619" t="s">
        <v>1227</v>
      </c>
      <c r="E619">
        <v>149</v>
      </c>
      <c r="F619" t="s">
        <v>1244</v>
      </c>
      <c r="G619" s="2" t="s">
        <v>222</v>
      </c>
      <c r="H619">
        <v>34.434336000000002</v>
      </c>
      <c r="I619">
        <v>211</v>
      </c>
      <c r="J619">
        <v>10</v>
      </c>
      <c r="K619" t="s">
        <v>1327</v>
      </c>
      <c r="N619" t="str">
        <v>t</v>
      </c>
      <c r="V619">
        <v>34.434336000000002</v>
      </c>
      <c r="AD619">
        <v>211</v>
      </c>
    </row>
    <row r="620" spans="1:34" x14ac:dyDescent="0.25">
      <c r="A620" t="s">
        <v>1245</v>
      </c>
      <c r="B620" s="5" t="s">
        <v>1349</v>
      </c>
      <c r="C620" s="5" t="s">
        <v>1345</v>
      </c>
      <c r="D620" t="s">
        <v>1227</v>
      </c>
      <c r="E620">
        <v>122</v>
      </c>
      <c r="F620" t="s">
        <v>1246</v>
      </c>
      <c r="G620" s="2" t="s">
        <v>222</v>
      </c>
      <c r="H620">
        <v>43.640732</v>
      </c>
      <c r="I620">
        <v>251</v>
      </c>
      <c r="J620">
        <v>10</v>
      </c>
      <c r="K620" t="s">
        <v>1327</v>
      </c>
      <c r="O620" t="str" cm="1">
        <f t="array" ref="O620:O622">G620:G622</f>
        <v>t</v>
      </c>
      <c r="W620" cm="1">
        <f t="array" ref="W620:W622">H620:H622</f>
        <v>43.640732</v>
      </c>
      <c r="AE620" cm="1">
        <f t="array" ref="AE620:AE622">I620:I622</f>
        <v>251</v>
      </c>
    </row>
    <row r="621" spans="1:34" x14ac:dyDescent="0.25">
      <c r="A621" t="s">
        <v>1247</v>
      </c>
      <c r="B621" s="5" t="s">
        <v>1349</v>
      </c>
      <c r="C621" s="5" t="s">
        <v>1345</v>
      </c>
      <c r="D621" t="s">
        <v>1227</v>
      </c>
      <c r="E621">
        <v>122</v>
      </c>
      <c r="F621" t="s">
        <v>1248</v>
      </c>
      <c r="G621" s="2" t="s">
        <v>222</v>
      </c>
      <c r="H621">
        <v>18.421250000000001</v>
      </c>
      <c r="I621">
        <v>98</v>
      </c>
      <c r="J621">
        <v>10</v>
      </c>
      <c r="K621" t="s">
        <v>1327</v>
      </c>
      <c r="O621" t="str">
        <v>t</v>
      </c>
      <c r="W621">
        <v>18.421250000000001</v>
      </c>
      <c r="AE621">
        <v>98</v>
      </c>
    </row>
    <row r="622" spans="1:34" x14ac:dyDescent="0.25">
      <c r="A622" t="s">
        <v>1249</v>
      </c>
      <c r="B622" s="5" t="s">
        <v>1349</v>
      </c>
      <c r="C622" s="5" t="s">
        <v>1345</v>
      </c>
      <c r="D622" t="s">
        <v>1227</v>
      </c>
      <c r="E622">
        <v>122</v>
      </c>
      <c r="F622" t="s">
        <v>1250</v>
      </c>
      <c r="G622" s="2" t="s">
        <v>223</v>
      </c>
      <c r="H622">
        <v>56.646496999999997</v>
      </c>
      <c r="I622">
        <v>323</v>
      </c>
      <c r="J622">
        <v>10</v>
      </c>
      <c r="K622" t="s">
        <v>1327</v>
      </c>
      <c r="O622" t="str">
        <v>f</v>
      </c>
      <c r="W622">
        <v>56.646496999999997</v>
      </c>
      <c r="AE622">
        <v>323</v>
      </c>
    </row>
    <row r="623" spans="1:34" x14ac:dyDescent="0.25">
      <c r="A623" s="1" t="s">
        <v>1251</v>
      </c>
      <c r="B623" s="5" t="s">
        <v>1349</v>
      </c>
      <c r="C623" s="5" t="s">
        <v>1345</v>
      </c>
      <c r="D623" t="s">
        <v>1227</v>
      </c>
      <c r="E623">
        <v>120</v>
      </c>
      <c r="F623" t="s">
        <v>1252</v>
      </c>
      <c r="G623" s="2" t="s">
        <v>222</v>
      </c>
      <c r="H623">
        <v>60.559275</v>
      </c>
      <c r="I623">
        <v>346</v>
      </c>
      <c r="J623">
        <v>10</v>
      </c>
      <c r="K623" t="s">
        <v>1327</v>
      </c>
      <c r="P623" t="str" cm="1">
        <f t="array" ref="P623:P625">G623:G625</f>
        <v>t</v>
      </c>
      <c r="X623" cm="1">
        <f t="array" ref="X623:X625">H623:H625</f>
        <v>60.559275</v>
      </c>
      <c r="AF623" cm="1">
        <f t="array" ref="AF623:AF625">I623:I625</f>
        <v>346</v>
      </c>
    </row>
    <row r="624" spans="1:34" x14ac:dyDescent="0.25">
      <c r="A624" s="1" t="s">
        <v>1253</v>
      </c>
      <c r="B624" s="5" t="s">
        <v>1349</v>
      </c>
      <c r="C624" s="5" t="s">
        <v>1345</v>
      </c>
      <c r="D624" t="s">
        <v>1227</v>
      </c>
      <c r="E624">
        <v>120</v>
      </c>
      <c r="F624" t="s">
        <v>1254</v>
      </c>
      <c r="G624" s="2" t="s">
        <v>222</v>
      </c>
      <c r="H624">
        <v>59.258347000000001</v>
      </c>
      <c r="I624">
        <v>315</v>
      </c>
      <c r="J624">
        <v>10</v>
      </c>
      <c r="K624" t="s">
        <v>1327</v>
      </c>
      <c r="P624" t="str">
        <v>t</v>
      </c>
      <c r="X624">
        <v>59.258347000000001</v>
      </c>
      <c r="AF624">
        <v>315</v>
      </c>
    </row>
    <row r="625" spans="1:34" x14ac:dyDescent="0.25">
      <c r="A625" s="1" t="s">
        <v>1255</v>
      </c>
      <c r="B625" s="5" t="s">
        <v>1349</v>
      </c>
      <c r="C625" s="5" t="s">
        <v>1345</v>
      </c>
      <c r="D625" t="s">
        <v>1227</v>
      </c>
      <c r="E625">
        <v>120</v>
      </c>
      <c r="F625" t="s">
        <v>1256</v>
      </c>
      <c r="G625" s="2" t="s">
        <v>223</v>
      </c>
      <c r="H625">
        <v>47.318193999999998</v>
      </c>
      <c r="I625">
        <v>269</v>
      </c>
      <c r="J625">
        <v>10</v>
      </c>
      <c r="K625" t="s">
        <v>1327</v>
      </c>
      <c r="P625" t="str">
        <v>f</v>
      </c>
      <c r="X625">
        <v>47.318193999999998</v>
      </c>
      <c r="AF625">
        <v>269</v>
      </c>
    </row>
    <row r="626" spans="1:34" x14ac:dyDescent="0.25">
      <c r="A626" t="s">
        <v>1257</v>
      </c>
      <c r="B626" s="5" t="s">
        <v>1349</v>
      </c>
      <c r="C626" s="5" t="s">
        <v>1345</v>
      </c>
      <c r="D626" t="s">
        <v>1227</v>
      </c>
      <c r="E626">
        <v>121</v>
      </c>
      <c r="F626" t="s">
        <v>1258</v>
      </c>
      <c r="G626" s="2" t="s">
        <v>222</v>
      </c>
      <c r="H626">
        <v>29.201174999999999</v>
      </c>
      <c r="I626">
        <v>171</v>
      </c>
      <c r="J626">
        <v>10</v>
      </c>
      <c r="K626" t="s">
        <v>1327</v>
      </c>
      <c r="Q626" t="str" cm="1">
        <f t="array" ref="Q626:Q628">G626:G628</f>
        <v>t</v>
      </c>
      <c r="Y626" cm="1">
        <f t="array" ref="Y626:Y628">H626:H628</f>
        <v>29.201174999999999</v>
      </c>
      <c r="AG626" cm="1">
        <f t="array" ref="AG626:AG628">I626:I628</f>
        <v>171</v>
      </c>
    </row>
    <row r="627" spans="1:34" x14ac:dyDescent="0.25">
      <c r="A627" t="s">
        <v>1259</v>
      </c>
      <c r="B627" s="5" t="s">
        <v>1349</v>
      </c>
      <c r="C627" s="5" t="s">
        <v>1345</v>
      </c>
      <c r="D627" t="s">
        <v>1227</v>
      </c>
      <c r="E627">
        <v>121</v>
      </c>
      <c r="F627" t="s">
        <v>1260</v>
      </c>
      <c r="G627" s="2" t="s">
        <v>223</v>
      </c>
      <c r="H627">
        <v>35.002327999999999</v>
      </c>
      <c r="I627">
        <v>206</v>
      </c>
      <c r="J627">
        <v>10</v>
      </c>
      <c r="K627" t="s">
        <v>1327</v>
      </c>
      <c r="Q627" t="str">
        <v>f</v>
      </c>
      <c r="Y627">
        <v>35.002327999999999</v>
      </c>
      <c r="AG627">
        <v>206</v>
      </c>
    </row>
    <row r="628" spans="1:34" x14ac:dyDescent="0.25">
      <c r="A628" t="s">
        <v>1261</v>
      </c>
      <c r="B628" s="5" t="s">
        <v>1349</v>
      </c>
      <c r="C628" s="5" t="s">
        <v>1345</v>
      </c>
      <c r="D628" t="s">
        <v>1227</v>
      </c>
      <c r="E628">
        <v>121</v>
      </c>
      <c r="F628" t="s">
        <v>1262</v>
      </c>
      <c r="G628" s="2" t="s">
        <v>222</v>
      </c>
      <c r="H628">
        <v>39.300226000000002</v>
      </c>
      <c r="I628">
        <v>217</v>
      </c>
      <c r="J628">
        <v>10</v>
      </c>
      <c r="K628" t="s">
        <v>1327</v>
      </c>
      <c r="Q628" t="str">
        <v>t</v>
      </c>
      <c r="Y628">
        <v>39.300226000000002</v>
      </c>
      <c r="AG628">
        <v>217</v>
      </c>
    </row>
    <row r="629" spans="1:34" x14ac:dyDescent="0.25">
      <c r="A629" t="s">
        <v>1263</v>
      </c>
      <c r="B629" s="5" t="s">
        <v>1349</v>
      </c>
      <c r="C629" s="5" t="s">
        <v>1345</v>
      </c>
      <c r="D629" t="s">
        <v>1227</v>
      </c>
      <c r="E629">
        <v>125</v>
      </c>
      <c r="F629" t="s">
        <v>1264</v>
      </c>
      <c r="G629" s="2" t="s">
        <v>223</v>
      </c>
      <c r="H629">
        <v>40.392757000000003</v>
      </c>
      <c r="I629">
        <v>215</v>
      </c>
      <c r="J629">
        <v>10</v>
      </c>
      <c r="K629" t="s">
        <v>1327</v>
      </c>
      <c r="R629" t="str" cm="1">
        <f t="array" ref="R629:R631">G629:G631</f>
        <v>f</v>
      </c>
      <c r="Z629" cm="1">
        <f t="array" ref="Z629:Z631">H629:H631</f>
        <v>40.392757000000003</v>
      </c>
      <c r="AH629" cm="1">
        <f t="array" ref="AH629:AH631">I629:I631</f>
        <v>215</v>
      </c>
    </row>
    <row r="630" spans="1:34" x14ac:dyDescent="0.25">
      <c r="A630" t="s">
        <v>1265</v>
      </c>
      <c r="B630" s="5" t="s">
        <v>1349</v>
      </c>
      <c r="C630" s="5" t="s">
        <v>1345</v>
      </c>
      <c r="D630" t="s">
        <v>1227</v>
      </c>
      <c r="E630">
        <v>125</v>
      </c>
      <c r="F630" t="s">
        <v>1266</v>
      </c>
      <c r="G630" s="2" t="s">
        <v>222</v>
      </c>
      <c r="H630">
        <v>48.010207000000001</v>
      </c>
      <c r="I630">
        <v>263</v>
      </c>
      <c r="J630">
        <v>10</v>
      </c>
      <c r="K630" t="s">
        <v>1327</v>
      </c>
      <c r="R630" t="str">
        <v>t</v>
      </c>
      <c r="Z630">
        <v>48.010207000000001</v>
      </c>
      <c r="AH630">
        <v>263</v>
      </c>
    </row>
    <row r="631" spans="1:34" s="3" customFormat="1" x14ac:dyDescent="0.25">
      <c r="A631" s="3" t="s">
        <v>1267</v>
      </c>
      <c r="B631" s="5" t="s">
        <v>1349</v>
      </c>
      <c r="C631" s="5" t="s">
        <v>1345</v>
      </c>
      <c r="D631" s="3" t="s">
        <v>1227</v>
      </c>
      <c r="E631" s="3">
        <v>125</v>
      </c>
      <c r="F631" s="3" t="s">
        <v>1268</v>
      </c>
      <c r="G631" s="4" t="s">
        <v>222</v>
      </c>
      <c r="H631" s="3">
        <v>67.046036999999998</v>
      </c>
      <c r="I631" s="3">
        <v>383</v>
      </c>
      <c r="J631" s="3">
        <v>10</v>
      </c>
      <c r="K631" s="3" t="s">
        <v>1327</v>
      </c>
      <c r="R631" s="3" t="str">
        <v>t</v>
      </c>
      <c r="Z631" s="3">
        <v>67.046036999999998</v>
      </c>
      <c r="AH631" s="3">
        <v>383</v>
      </c>
    </row>
    <row r="633" spans="1:34" x14ac:dyDescent="0.25">
      <c r="A633" t="s">
        <v>1344</v>
      </c>
      <c r="B633" s="8">
        <f>COUNTIF($B$2:$B$631,A633)</f>
        <v>84</v>
      </c>
      <c r="C633" s="8">
        <f>COUNTIF(puzzleType,D633)</f>
        <v>315</v>
      </c>
      <c r="D633" t="s">
        <v>1345</v>
      </c>
      <c r="E633">
        <f>AVERAGE(E2:E631)</f>
        <v>116.1952380952381</v>
      </c>
      <c r="G633" s="7">
        <f>COUNTIF(G2:G631, "t")/630</f>
        <v>0.37936507936507935</v>
      </c>
      <c r="H633">
        <f>AVERAGE(H2:H631)</f>
        <v>44.1036474</v>
      </c>
      <c r="I633">
        <f>AVERAGE(I2:I631)</f>
        <v>231.67460317460316</v>
      </c>
      <c r="L633" s="7">
        <f>COUNTIF(L2:L631, "t")/(90)</f>
        <v>0.45555555555555555</v>
      </c>
      <c r="M633" s="7">
        <f t="shared" ref="M633:R633" si="0">COUNTIF(M2:M631, "t")/(90)</f>
        <v>0.3888888888888889</v>
      </c>
      <c r="N633" s="7">
        <f t="shared" si="0"/>
        <v>0.42222222222222222</v>
      </c>
      <c r="O633" s="7">
        <f t="shared" si="0"/>
        <v>0.34444444444444444</v>
      </c>
      <c r="P633" s="7">
        <f t="shared" si="0"/>
        <v>0.35555555555555557</v>
      </c>
      <c r="Q633" s="7">
        <f t="shared" si="0"/>
        <v>0.3888888888888889</v>
      </c>
      <c r="R633" s="7">
        <f t="shared" si="0"/>
        <v>0.3</v>
      </c>
      <c r="T633">
        <f>AVERAGE(T2:T631)</f>
        <v>6.7490341444444493</v>
      </c>
      <c r="U633">
        <f>AVERAGE(U2:U631)</f>
        <v>62.359276855555578</v>
      </c>
      <c r="V633">
        <f t="shared" ref="V633:Z633" si="1">AVERAGE(V2:V631)</f>
        <v>49.013055288888872</v>
      </c>
      <c r="W633">
        <f t="shared" si="1"/>
        <v>39.093167566666658</v>
      </c>
      <c r="X633">
        <f t="shared" si="1"/>
        <v>40.96371873333333</v>
      </c>
      <c r="Y633">
        <f t="shared" si="1"/>
        <v>48.710490522222202</v>
      </c>
      <c r="Z633">
        <f t="shared" si="1"/>
        <v>61.836788688888902</v>
      </c>
      <c r="AB633">
        <f>AVERAGE(AB2:AB631)</f>
        <v>38.177777777777777</v>
      </c>
      <c r="AC633">
        <f t="shared" ref="AC633:AH633" si="2">AVERAGE(AC2:AC631)</f>
        <v>331.8</v>
      </c>
      <c r="AD633">
        <f t="shared" si="2"/>
        <v>260.32222222222219</v>
      </c>
      <c r="AE633">
        <f t="shared" si="2"/>
        <v>205.37777777777777</v>
      </c>
      <c r="AF633">
        <f t="shared" si="2"/>
        <v>214.71111111111111</v>
      </c>
      <c r="AG633">
        <f t="shared" si="2"/>
        <v>252.52222222222221</v>
      </c>
      <c r="AH633">
        <f t="shared" si="2"/>
        <v>318.81111111111113</v>
      </c>
    </row>
    <row r="634" spans="1:34" x14ac:dyDescent="0.25">
      <c r="A634" t="s">
        <v>1319</v>
      </c>
      <c r="B634" s="8">
        <f t="shared" ref="B634:B636" si="3">COUNTIF($B$2:$B$631,A634)</f>
        <v>210</v>
      </c>
      <c r="C634" s="8">
        <f>COUNTIF(puzzleType,D634)</f>
        <v>168</v>
      </c>
      <c r="D634" t="s">
        <v>1347</v>
      </c>
      <c r="H634">
        <f>STDEV(H2:H631)</f>
        <v>24.860530937416272</v>
      </c>
      <c r="I634">
        <f>STDEV(I2:I631)</f>
        <v>129.02031669574961</v>
      </c>
    </row>
    <row r="635" spans="1:34" x14ac:dyDescent="0.25">
      <c r="A635" t="s">
        <v>1349</v>
      </c>
      <c r="B635" s="8">
        <f t="shared" si="3"/>
        <v>231</v>
      </c>
      <c r="C635" s="8">
        <f>COUNTIF(puzzleType,D635)</f>
        <v>105</v>
      </c>
      <c r="D635" t="s">
        <v>1348</v>
      </c>
    </row>
    <row r="636" spans="1:34" x14ac:dyDescent="0.25">
      <c r="A636" t="s">
        <v>1350</v>
      </c>
      <c r="B636" s="8">
        <f t="shared" si="3"/>
        <v>105</v>
      </c>
      <c r="C636" s="8">
        <f>COUNTIF(puzzleType,D636)</f>
        <v>42</v>
      </c>
      <c r="D636" t="s">
        <v>1346</v>
      </c>
    </row>
    <row r="638" spans="1:34" x14ac:dyDescent="0.25">
      <c r="B638">
        <f>B633/21</f>
        <v>4</v>
      </c>
      <c r="C638">
        <f>C633/21</f>
        <v>15</v>
      </c>
      <c r="F638" t="s">
        <v>1344</v>
      </c>
      <c r="G638" s="7">
        <f>COUNTIFS($G$2:$G$631,"t",Difficulty,F638)/B633</f>
        <v>0.45238095238095238</v>
      </c>
    </row>
    <row r="639" spans="1:34" x14ac:dyDescent="0.25">
      <c r="B639">
        <f t="shared" ref="B639:C641" si="4">B634/21</f>
        <v>10</v>
      </c>
      <c r="C639">
        <f t="shared" si="4"/>
        <v>8</v>
      </c>
      <c r="F639" t="s">
        <v>1319</v>
      </c>
      <c r="G639" s="7">
        <f>COUNTIFS($G$2:$G$631,"t",Difficulty,F639)/B634</f>
        <v>0.56190476190476191</v>
      </c>
    </row>
    <row r="640" spans="1:34" x14ac:dyDescent="0.25">
      <c r="B640">
        <f t="shared" si="4"/>
        <v>11</v>
      </c>
      <c r="C640">
        <f t="shared" si="4"/>
        <v>5</v>
      </c>
      <c r="F640" t="s">
        <v>1349</v>
      </c>
      <c r="G640" s="7">
        <f>COUNTIFS($G$2:$G$631,"t",Difficulty,F640)/B635</f>
        <v>0.30303030303030304</v>
      </c>
    </row>
    <row r="641" spans="2:7" x14ac:dyDescent="0.25">
      <c r="B641">
        <f t="shared" si="4"/>
        <v>5</v>
      </c>
      <c r="C641">
        <f t="shared" si="4"/>
        <v>2</v>
      </c>
      <c r="F641" t="s">
        <v>1350</v>
      </c>
      <c r="G641" s="7">
        <f>COUNTIFS($G$2:$G$631,"t",Difficulty,F641)/B636</f>
        <v>0.12380952380952381</v>
      </c>
    </row>
    <row r="643" spans="2:7" x14ac:dyDescent="0.25">
      <c r="F643" t="s">
        <v>1345</v>
      </c>
      <c r="G643" s="7">
        <f>COUNTIFS(correctness,"t",puzzleType,F643)/C633</f>
        <v>0.38730158730158731</v>
      </c>
    </row>
    <row r="644" spans="2:7" x14ac:dyDescent="0.25">
      <c r="F644" t="s">
        <v>1347</v>
      </c>
      <c r="G644" s="7">
        <f>COUNTIFS(correctness,"t",puzzleType,F644)/C634</f>
        <v>0.42857142857142855</v>
      </c>
    </row>
    <row r="645" spans="2:7" x14ac:dyDescent="0.25">
      <c r="F645" t="s">
        <v>1348</v>
      </c>
      <c r="G645" s="7">
        <f>COUNTIFS(correctness,"t",puzzleType,F645)/C635</f>
        <v>0.33333333333333331</v>
      </c>
    </row>
    <row r="646" spans="2:7" x14ac:dyDescent="0.25">
      <c r="F646" t="s">
        <v>1346</v>
      </c>
      <c r="G646" s="7">
        <f>COUNTIFS(correctness,"t",puzzleType,F646)/C636</f>
        <v>0.23809523809523808</v>
      </c>
    </row>
  </sheetData>
  <phoneticPr fontId="18" type="noConversion"/>
  <conditionalFormatting sqref="G2:G1048576">
    <cfRule type="containsText" dxfId="3" priority="3" operator="containsText" text="t">
      <formula>NOT(ISERROR(SEARCH("t",G2)))</formula>
    </cfRule>
    <cfRule type="containsText" dxfId="2" priority="4" operator="containsText" text="f">
      <formula>NOT(ISERROR(SEARCH("f",G2)))</formula>
    </cfRule>
  </conditionalFormatting>
  <conditionalFormatting sqref="L633:R633">
    <cfRule type="containsText" dxfId="1" priority="1" operator="containsText" text="t">
      <formula>NOT(ISERROR(SEARCH("t",L633)))</formula>
    </cfRule>
    <cfRule type="containsText" dxfId="0" priority="2" operator="containsText" text="f">
      <formula>NOT(ISERROR(SEARCH("f",L633)))</formula>
    </cfRule>
  </conditionalFormatting>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dataset2s1</vt:lpstr>
      <vt:lpstr>correctness</vt:lpstr>
      <vt:lpstr>Difficulty</vt:lpstr>
      <vt:lpstr>puzzleType</vt:lpstr>
      <vt:lpstr>weirdRange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Punny Master</cp:lastModifiedBy>
  <dcterms:created xsi:type="dcterms:W3CDTF">2025-12-09T23:35:19Z</dcterms:created>
  <dcterms:modified xsi:type="dcterms:W3CDTF">2026-08-31T02:06:28Z</dcterms:modified>
</cp:coreProperties>
</file>