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ef2d194797e50ac/Documents/Class/.Fall 2025^Mdissertation/"/>
    </mc:Choice>
  </mc:AlternateContent>
  <xr:revisionPtr revIDLastSave="1583" documentId="8_{79BA9956-E4D0-4265-8995-32A057C09006}" xr6:coauthVersionLast="47" xr6:coauthVersionMax="47" xr10:uidLastSave="{14BC815A-4F38-4FA3-A6AB-B42E0118D0EC}"/>
  <bookViews>
    <workbookView xWindow="14295" yWindow="0" windowWidth="14610" windowHeight="15585" xr2:uid="{CD5B0518-136A-4002-BEEF-DFE9CABF03D2}"/>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4" i="1" l="1"/>
  <c r="S304" i="1"/>
  <c r="T304" i="1"/>
  <c r="Q304" i="1"/>
  <c r="T194" i="1"/>
  <c r="T184" i="1"/>
  <c r="S174" i="1"/>
  <c r="S164" i="1"/>
  <c r="R154" i="1"/>
  <c r="R144" i="1"/>
  <c r="T134" i="1"/>
  <c r="S124" i="1"/>
  <c r="R114" i="1"/>
  <c r="R104" i="1"/>
  <c r="R94" i="1"/>
  <c r="R84" i="1"/>
  <c r="Q74" i="1"/>
  <c r="R64" i="1"/>
  <c r="R54" i="1"/>
  <c r="Q44" i="1"/>
  <c r="R34" i="1"/>
  <c r="Q24" i="1"/>
  <c r="Q14" i="1"/>
  <c r="R3" i="1"/>
  <c r="J307" i="1"/>
  <c r="J306" i="1"/>
  <c r="P299" i="1" a="1"/>
  <c r="P299" i="1" s="1"/>
  <c r="P289" i="1" a="1"/>
  <c r="P289" i="1" s="1"/>
  <c r="P279" i="1" a="1"/>
  <c r="P279" i="1" s="1"/>
  <c r="P269" i="1" a="1"/>
  <c r="P269" i="1" s="1"/>
  <c r="P259" i="1" a="1"/>
  <c r="P259" i="1" s="1"/>
  <c r="P249" i="1" a="1"/>
  <c r="P249" i="1" s="1"/>
  <c r="P239" i="1" a="1"/>
  <c r="P239" i="1" s="1"/>
  <c r="P229" i="1" a="1"/>
  <c r="P229" i="1" s="1"/>
  <c r="P219" i="1" a="1"/>
  <c r="P219" i="1" s="1"/>
  <c r="P209" i="1" a="1"/>
  <c r="P209" i="1" s="1"/>
  <c r="P199" i="1" a="1"/>
  <c r="P199" i="1" s="1"/>
  <c r="P189" i="1" a="1"/>
  <c r="P189" i="1" s="1"/>
  <c r="P179" i="1" a="1"/>
  <c r="P179" i="1" s="1"/>
  <c r="P169" i="1" a="1"/>
  <c r="P169" i="1" s="1"/>
  <c r="P159" i="1" a="1"/>
  <c r="P159" i="1" s="1"/>
  <c r="P149" i="1" a="1"/>
  <c r="P149" i="1" s="1"/>
  <c r="P139" i="1" a="1"/>
  <c r="P139" i="1" s="1"/>
  <c r="P129" i="1" a="1"/>
  <c r="P129" i="1" s="1"/>
  <c r="P119" i="1" a="1"/>
  <c r="P119" i="1" s="1"/>
  <c r="P109" i="1" a="1"/>
  <c r="P109" i="1" s="1"/>
  <c r="P99" i="1" a="1"/>
  <c r="P99" i="1" s="1"/>
  <c r="P89" i="1" a="1"/>
  <c r="P89" i="1" s="1"/>
  <c r="P79" i="1" a="1"/>
  <c r="P79" i="1" s="1"/>
  <c r="P69" i="1" a="1"/>
  <c r="P69" i="1" s="1"/>
  <c r="P59" i="1" a="1"/>
  <c r="P59" i="1" s="1"/>
  <c r="P49" i="1" a="1"/>
  <c r="P49" i="1" s="1"/>
  <c r="P39" i="1" a="1"/>
  <c r="P39" i="1" s="1"/>
  <c r="P29" i="1" a="1"/>
  <c r="P29" i="1" s="1"/>
  <c r="P19" i="1" a="1"/>
  <c r="P19" i="1" s="1"/>
  <c r="P9" i="1" a="1"/>
  <c r="P9" i="1" s="1"/>
  <c r="O294" i="1" a="1"/>
  <c r="O294" i="1" s="1"/>
  <c r="O284" i="1" a="1"/>
  <c r="O284" i="1" s="1"/>
  <c r="O274" i="1" a="1"/>
  <c r="O274" i="1" s="1"/>
  <c r="O264" i="1" a="1"/>
  <c r="O264" i="1" s="1"/>
  <c r="O254" i="1" a="1"/>
  <c r="O254" i="1" s="1"/>
  <c r="O244" i="1" a="1"/>
  <c r="O244" i="1" s="1"/>
  <c r="O234" i="1" a="1"/>
  <c r="O234" i="1" s="1"/>
  <c r="O224" i="1" a="1"/>
  <c r="O224" i="1" s="1"/>
  <c r="O214" i="1" a="1"/>
  <c r="O214" i="1" s="1"/>
  <c r="O204" i="1" a="1"/>
  <c r="O204" i="1" s="1"/>
  <c r="O194" i="1" a="1"/>
  <c r="O194" i="1" s="1"/>
  <c r="O184" i="1" a="1"/>
  <c r="O184" i="1" s="1"/>
  <c r="O174" i="1" a="1"/>
  <c r="O174" i="1" s="1"/>
  <c r="O164" i="1" a="1"/>
  <c r="O164" i="1" s="1"/>
  <c r="O154" i="1" a="1"/>
  <c r="O154" i="1" s="1"/>
  <c r="O144" i="1" a="1"/>
  <c r="O144" i="1" s="1"/>
  <c r="O134" i="1" a="1"/>
  <c r="O134" i="1" s="1"/>
  <c r="O124" i="1" a="1"/>
  <c r="O124" i="1" s="1"/>
  <c r="O114" i="1" a="1"/>
  <c r="O114" i="1" s="1"/>
  <c r="O104" i="1" a="1"/>
  <c r="O104" i="1" s="1"/>
  <c r="O94" i="1" a="1"/>
  <c r="O94" i="1" s="1"/>
  <c r="O84" i="1" a="1"/>
  <c r="O84" i="1" s="1"/>
  <c r="O74" i="1" a="1"/>
  <c r="O74" i="1" s="1"/>
  <c r="O64" i="1" a="1"/>
  <c r="O64" i="1" s="1"/>
  <c r="O54" i="1" a="1"/>
  <c r="O54" i="1" s="1"/>
  <c r="O44" i="1" a="1"/>
  <c r="O44" i="1" s="1"/>
  <c r="O34" i="1" a="1"/>
  <c r="O34" i="1" s="1"/>
  <c r="O24" i="1" a="1"/>
  <c r="O24" i="1" s="1"/>
  <c r="O14" i="1" a="1"/>
  <c r="O14" i="1" s="1"/>
  <c r="O3" i="1" a="1"/>
  <c r="O3" i="1" s="1"/>
  <c r="J304" i="1"/>
  <c r="L307" i="1"/>
  <c r="K307" i="1"/>
  <c r="L306" i="1"/>
  <c r="K306" i="1"/>
  <c r="L304" i="1"/>
  <c r="K304" i="1"/>
  <c r="F306" i="1"/>
  <c r="F304" i="1"/>
  <c r="E307" i="1"/>
  <c r="E306" i="1"/>
  <c r="E305" i="1"/>
  <c r="E304" i="1"/>
  <c r="D304" i="1"/>
  <c r="D305" i="1" s="1"/>
  <c r="D306" i="1" s="1"/>
  <c r="E3" i="3"/>
  <c r="F3" i="3" s="1"/>
  <c r="E4" i="3"/>
  <c r="F4" i="3" s="1"/>
  <c r="E5" i="3"/>
  <c r="F5" i="3" s="1"/>
  <c r="E6" i="3"/>
  <c r="F6" i="3" s="1"/>
  <c r="E2" i="3"/>
  <c r="F2" i="3" s="1"/>
  <c r="D307" i="1" l="1"/>
  <c r="F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Punny Master</author>
  </authors>
  <commentList>
    <comment ref="M2" authorId="0" shapeId="0" xr:uid="{4DB0D02E-7E6B-4CBF-ADAA-EBEAFA86D99A}">
      <text>
        <r>
          <rPr>
            <b/>
            <sz val="9"/>
            <color indexed="81"/>
            <rFont val="Tahoma"/>
            <family val="2"/>
          </rPr>
          <t>Punny Master:</t>
        </r>
        <r>
          <rPr>
            <sz val="9"/>
            <color indexed="81"/>
            <rFont val="Tahoma"/>
            <family val="2"/>
          </rPr>
          <t xml:space="preserve">
1 - Incorrect Deduction
2 - Incomplete Reasoning
3 - Hallucination
4 - Contradiction
5 - Misattribute of Constraints
6 - Invalid Logical Jump
7 - Answer Without Reasoning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<sst xmlns="http://schemas.openxmlformats.org/spreadsheetml/2006/main" count="748" uniqueCount="357">
  <si>
    <t>Puzzle Text</t>
  </si>
  <si>
    <t>Correct Answer</t>
  </si>
  <si>
    <t>Puzzle Metadata</t>
  </si>
  <si>
    <t>Puzzle_ID</t>
  </si>
  <si>
    <t>Puzzle_type</t>
  </si>
  <si>
    <t>Puzzle_difficulty</t>
  </si>
  <si>
    <t>Token_length</t>
  </si>
  <si>
    <t>solution_length</t>
  </si>
  <si>
    <t>Source</t>
  </si>
  <si>
    <t>Output</t>
  </si>
  <si>
    <t>Raw Output</t>
  </si>
  <si>
    <t>Correct</t>
  </si>
  <si>
    <t>Inference Time</t>
  </si>
  <si>
    <t>Total Token generated</t>
  </si>
  <si>
    <t>There are 3 dolls on the table, red, yellow, green, each with a key inside of it. Only one key is the correct key. There is a note that said "Blue + Yellow". Where is the correct key?</t>
  </si>
  <si>
    <t>inside the green doll</t>
  </si>
  <si>
    <t>deduction</t>
  </si>
  <si>
    <t>easy</t>
  </si>
  <si>
    <t>self-generated</t>
  </si>
  <si>
    <t>The correct key is inside the yellow doll.</t>
  </si>
  <si>
    <t>1Z</t>
  </si>
  <si>
    <t>1C</t>
  </si>
  <si>
    <t>f</t>
  </si>
  <si>
    <t xml:space="preserve"> To solve this puzzle, we need to understand the meaning of the given note "Blue + Yellow". This could be interpreted as combining the colors blue and yellow to find the correct key. Since there are no blue dolls mentioned, we can assume that blue represents the yellow doll.
Now, we have two colors left: blue (yellow) and green. The note does not provide any information about green, so we can focus on the blue (yellow) doll.
Therefore, the correct key is inside the yellow doll.</t>
  </si>
  <si>
    <t>To solve this puzzle, we need to understand the meaning of the note "Blue + Yellow". It seems like it's asking us to combine two colors to find the correct key. However, there are no blue dolls mentioned in the problem.
Next, we look at the available colors of the dolls: red, yellow, and green. The note asks for "Blue + Yellow", but there is no blue doll. This could be an indication that we need to think creatively about how to interpret the colors.
Since there are no blue dolls, we can assume that "Blue" in the note refers to the color of the key inside the yellow doll. So, "Blue + Yellow" means we need to combine the key color from the yellow doll with the actual color of the yellow doll itself.
Now, we know that the correct key is inside the yellow doll, as it matches the color mentioned in the note. Therefore, the correct key is the key inside the yellow doll.</t>
  </si>
  <si>
    <t xml:space="preserve"> Firstly, we need to understand the meaning of "Blue + Yellow". It could be a combination of colors or an addition of colors. However, there are no blue dolls mentioned in the puzzle. So, it seems more likely that it refers to adding the yellow key to something else.
Secondly, we know that only one key is the correct key among the three dolls - red, yellow, and green. This implies that the other two keys are incorrect.
Thirdly, since the note says "Blue + Yellow", it suggests that the correct key might be related to the yellow key in some way. But as mentioned earlier, there are no blue dolls present.
Now, let's consider the possibility of adding the yellow key to something else. Since there are no other objects mentioned in the puzzle except for the dolls and their keys, we can assume that the addition is happening within the context of the dolls themselves.
Lastly, if we look at the colors of the dolls again - red, yellow, and green - we notice that yellow stands out as the only color mentioned in both the note and one of the dolls. This strongly indicates that the correct key is hidden inside the yellow doll.
So, the correct key is inside the yellow doll.</t>
  </si>
  <si>
    <t>To solve this puzzle, we need to interpret the given information and apply logical reasoning.
1. There are three dolls on the table, each with a key inside of it. The colors of the dolls are red, yellow, and green.
2. Only one key is the correct key.
3. There is a note that says "Blue + Yellow".
Now, let's analyze the clues step by step:
Step 1: The note mentions "Blue + Yellow". Since there is no blue doll mentioned, we can eliminate the possibility of the correct key being related to a blue doll. This leaves us with only two colors - yellow and green.
Step 2: We now need to determine which of the remaining colors (yellow or green) is associated with the correct key. The note says "Blue + Yellow", but there is no blue doll. However, the word "Blue" might be used as a metaphor or code for something else.
Step 3: In this context, "Blue" could represent the color of the correct key's wrapper or packaging. If so, then the correct key would be the yellow key because it matches the "Yellow" part of the note.
Final Answer: The correct key is inside the yellow doll.</t>
  </si>
  <si>
    <t>Firstly, we need to understand the meaning of "Blue + Yellow". It could be a color combination or an instruction. Since there are no other clues given about this phrase, we can assume it's an instruction.
Next, we have three dolls with keys inside: red, yellow, and green. The note says "Blue + Yellow", which doesn't match any of the doll colors. However, it does mention yellow, so we should focus on the yellow doll.
Now, we need to find out what "Blue + Yellow" means in terms of the yellow doll. Since it's an instruction, we can think of it as a combination of actions or steps to follow. One possibility is that we need to combine the yellow doll with something else related to blue. But there's nothing else blue on the table.
Another possibility is that we need to do something with both the yellow doll and something blue. The only blue element mentioned in the problem is the color of the keys inside the dolls. So, we should check the keys inside the other dolls to see if they have any connection with the yellow doll.
The red doll has a red key, which doesn't seem related to the yellow doll or the instruction. The green doll has a green key, also unrelated. Now we're left with the yellow doll itself. Its key must be the correct one since it's mentioned in the instruction.
In conclusion, the correct key is inside the yellow doll because it's the only element in the problem that matches both the color yellow and the instruction "Blue + Yellow".</t>
  </si>
  <si>
    <t>Zero-Shot Prompt</t>
  </si>
  <si>
    <t xml:space="preserve">Solve This puzzzle: </t>
  </si>
  <si>
    <t>{Puzzle Text}</t>
  </si>
  <si>
    <t>Just give me the answer.</t>
  </si>
  <si>
    <t>CoT Prompt</t>
  </si>
  <si>
    <t>Solve this puzzle step-by-step. Think carefully about each clue before giving your final answer.</t>
  </si>
  <si>
    <t xml:space="preserve">Explaining your reasoning first, then answer. </t>
  </si>
  <si>
    <t>2Z</t>
  </si>
  <si>
    <t>2C</t>
  </si>
  <si>
    <t>very easy</t>
  </si>
  <si>
    <t>The correct key is inside the green doll.</t>
  </si>
  <si>
    <t>t</t>
  </si>
  <si>
    <t xml:space="preserve"> The colors mentioned in the note are blue and yellow, not associated with any of the dolls. However, if we consider the colors as an indication of mixing them together, we get green (from yellow and blue). Therefore, the correct key is in the green doll.</t>
  </si>
  <si>
    <t>To solve this puzzle, we need to understand that the colors mentioned in the note, "Blue + Yellow", are not referring to the dolls' colors but rather representing two additional colors that don't exist among the dolls. These colors are used as a code to indicate where the correct key is hidden.
Since there are no blue or yellow dolls, we can assume that the correct key is hidden somewhere related to these nonexistent colors. Now, let's try combining the colors mentioned in the note: Blue + Yellow = Green.
As green is one of the existing doll colors, we can conclude that the correct key is inside the green doll.
The answer is: The correct key is inside the green doll.</t>
  </si>
  <si>
    <t>The correct key is hidden inside the green doll.</t>
  </si>
  <si>
    <t>There are 3 dolls on the table, red, purple, green, each with a key inside of it. Only one key is the correct key. There is a note that said "Blue + Yellow". Where is the correct key?</t>
  </si>
  <si>
    <t>First, we need to understand the meaning of "Blue + Yellow". It could be a color combination or an instruction to mix colors. Since there are no colors named Blue or Yellow among the dolls, it is likely an instruction.
Second, we need to look for any objects or actions related to Blue and Yellow in the given information. There are no such objects or actions mentioned directly. However, we know that there are keys inside the dolls, and the note mentions colors.
Third, we can assume that "Blue + Yellow" refers to combining the colors of the keys inside the dolls. Since there are no keys with blue or yellow colors mentioned, we need to find a way to create these colors by mixing the colors of the keys we have.
Fourth, we have three colors represented by the dolls: red, purple, and green. We need to create blue and yellow from these colors. By mixing red and purple, we can create a color close to blue (magenta or violet). Mixing green with purple might create a darker shade of blue as well. So, let's consider both possibilities.
Fifth, we now have two potential combinations for creating blue: red + purple and green + purple. To create yellow, we need to mix red and green. This combination will result in an orange color, which is not yellow. However, if we mix purple with yellow (which we don't have), we can create a color close to green.
Sixth, since we cannot create yellow by mixing red and green, we need to focus on the blue combinations. Out of red + purple and green + purple, red + purple seems more likely to create a closer match to blue.
Seventh, considering all the above reasoning, we can conclude that the correct key is inside the red doll combined with the purple doll. The note "Blue + Yellow" is an instruction to mix the colors of the keys inside these two dolls to create a blue color close to what is mentioned in the note.</t>
  </si>
  <si>
    <t>First, we need to understand the meaning of "Blue + Yellow". It could be a color combination or an instruction to perform an action.
Since there are no other clues given about the context, let's assume it's a color combination. In this case, we need to find a key that has a color close to blue and yellow combined.
Now, let's look at the colors of the dolls: Red, Purple, and Green. Among these colors, Green is closest to a mix of Blue and Yellow as it has some blue undertones and also resembles yellowish-green hues.
Therefore, the correct key is most likely inside the green doll.</t>
  </si>
  <si>
    <t>To solve this puzzle, we need to understand the meaning of "Blue + Yellow" mentioned in the note. It could be a hint towards color mixing or a combination of two colors. Since there are no other clues given about the keys or dolls, we can assume that the colors mentioned in the note are related to the colors of the dolls.
Now, let's look at the colors of the dolls: Red, Purple, and Green. We need to find a combination of these colors that resembles "Blue + Yellow". Blue is created by mixing cyan (a shade of green) and violet (a shade of purple), while yellow is a primary color and cannot be created by mixing other colors.
Since we have a purple doll and a green doll, we can create a shade of blue by combining these two colors. However, we don't have a cyan doll, which is another shade of green. So, we cannot create an exact match for blue.
Now, let's see if we can create a shade of yellow by mixing the remaining colors. Yellow can be created by mixing red and green. We have a red doll and a green doll, so we can try mixing their colors to see if we get a shade of yellow.
In conclusion, the correct key is most likely inside the green doll since mixing red and green creates a shade of yellow. The reasoning behind this is that the note mentioned "Blue + Yellow", which led us to believe that we need to create a combination of colors related to the dolls. Since we couldn't create an exact match for blue, we focused on creating yellow instead. And yellow can be created by mixing red and green, which are the colors of the green doll.</t>
  </si>
  <si>
    <t>Firstly, we need to understand the meaning of "Blue + Yellow". It could be a color combination or an instruction to mix colors. Since there are no other clues related to colors, we can assume it's an instruction.
Secondly, we know there is a note with this instruction next to the dolls with keys inside them. This implies that the instruction is somehow related to finding the correct key among the dolls.
Thirdly, let's consider the color combination "Blue + Yellow". When we mix blue and yellow paint, we get green. So, the color green could be significant in this puzzle.
Fourthly, there are three dolls on the table - red, purple, and green. Since the instruction points towards the color green, we can focus our attention on the green doll.
Finally, the green doll must contain the correct key among the three dolls. Therefore, the correct key is inside the green doll.</t>
  </si>
  <si>
    <t>Error Type</t>
  </si>
  <si>
    <t>m</t>
  </si>
  <si>
    <t>w</t>
  </si>
  <si>
    <t>tot</t>
  </si>
  <si>
    <t>To solve this puzzle, we need to break down the given information and analyze each part thoroughly.
1. We have 3 dolls with different colors - red, purple, and green.
2. Each doll has a key inside it.
3. One of the keys is the correct one, while the other two are not.
4. There's a note that mentions 'Blue + Yellow.'
5. The ultimate goal is to determine which key is the correct one based on the given details.
Now let's focus on the provided note. "Blue + Yellow" could be referring to two separate elements or combining the colors blue and yellow. Given that there are no direct hints related to the colors in the puzzle, we should consider the possibility that the sum of the numbers associated with the colors might reveal some insight.
So, let's assign numerical values to the colors:
- Red = 1 (since it comes first in the ROYGBIV color order)
- Purple = 3 (it's next in the sequence, so we'll skip 2)
- Green = 5 (it's the last color in the typical sequence)
Next, we can calculate the sum mentioned in the note: Blue = 2 (second number in the sequence) and Yellow = 3 (third number in the sequence). So, 'Blue + Yellow' equals 2 + 3, which gives us the sum of 5.
Now, let's look at the dolls and their corresponding keys:
1. Red doll has a key
2. Purple doll has a key
3. Green doll has a key
The sum of the colors (blue + yellow) corresponds to the green color (which has a value of 5 in the assigned numerical sequence). Therefore, the correct key is likely to be in the Green doll.
Answer: The correct key is in the Green doll.</t>
  </si>
  <si>
    <t>You are in a hallway with 3 doors, number 1, 2 and 4. A sign on the wall says: "The correct exit is quite odd". Which is the correct door?</t>
  </si>
  <si>
    <t>Door number 1</t>
  </si>
  <si>
    <t>3z</t>
  </si>
  <si>
    <t>Riddle</t>
  </si>
  <si>
    <t>AI
The given information does not provide enough context to definitively identify which door is the correct exit. However, considering the phrase "the correct exit is quite odd," it suggests that the expected or typical door might not be the right one, possibly making door 3 (not mentioned) the unconventional choice. But without further details, we cannot be certain.</t>
  </si>
  <si>
    <t>The correct door could be considered as either door 2 or door 4 since both of them have odd numbers while door 1 has an even number. However, without more context, we can't definitively determine which one is the intended correct exit.</t>
  </si>
  <si>
    <t>The statement "The correct exit is quite odd" implies that the normal or expected exit would not be chosen. Since there is no door labeled as 'odd', it could be inferred that door 1 (which seems to be the most typical number) might be wrong. Door 2 is left as the only remaining possibility. Therefore, the likely correct door is number 2. This is an assumption based on the given information, though the actual context might alter these interpretations.</t>
  </si>
  <si>
    <t>The statement implies that the answer might not be logical or expected. Since you have three options (doors 1, 2, and 4), it could mean any of those doors might be the correct one. However, to narrow it down further, consider your perception or understanding of the given information and choose a door that seems more 'odd' than the others.</t>
  </si>
  <si>
    <t>Since the sign mentions that the correct exit is "quite odd," it implies something not expected or different from common standards. In a scenario with only three labeled doors (numbered 1, 2, and 4), the uncommon or unusual door would be Door Number 3 (not mentioned). Therefore, Door Number 3 might be the correct exit. However, given no further context or information, it's also possible that the correct exit is hidden in a more abstract sense.</t>
  </si>
  <si>
    <t>3c</t>
  </si>
  <si>
    <t>First, let's analyze the given information. We have three doors, labeled as 1, 2, and 4. The goal is to find the "correct" or odd exit among them. The clue says that the correct exit is "quite odd." This implies that we need to determine which door is either not common or different from the others.
Now, let's think of possible scenarios and eliminate options based on our understanding of the clue.
Option 1 (Door 1): It could be considered odd as it is not labeled 3, but it is still a logical label for a door.
Option 2 (Door 2): Again, it is not labeled 3, which might make it somewhat unusual. However, it is a logical label for a door too.
Option 3 (Door 4): This one is not labeled as 3, making it an odd label. However, it is still a valid door number.
Now, considering all the options, none of them are truly "odd" in terms of being extreme or unexpected. They are just different from each other in the numbering context. Therefore, there isn't one single door that would stand out as "the odd one" and can be considered the correct exit according to the given information. Consequently, we can't provide a specific answer due to the lack of relevant details in the puzzle. We might need more clues or information to pinpoint the correct exit.</t>
  </si>
  <si>
    <t xml:space="preserve"> We can analyze the given information step by step to narrow down the possibilities. Firstly, the question states that there are three doors - numbered 1, 2, and 4. The statement "The correct exit is quite odd" is about finding the unusual or less common door. Since the other two options are not mentioned as odd, it's possible the one we should focus on is door 4. This is because, in a typical scenario of 3 options, the 'odd one out' might not necessarily be the least expected but rather the unique one. However, remember that this could be just a metaphorical way to describe the situation, and you would need more context for a more accurate conclusion. So the answer to which door is most likely the correct exit would be door 4.</t>
  </si>
  <si>
    <t xml:space="preserve"> Firstly, we should analyze the given information and try to understand the meaning of the phrase "the correct exit is quite odd." The term 'odd' can be interpreted as unusual or different from the norm. Since there are three doors and only one of them is the correct exit, we can reason that the correct door would not be typically perceived as the right one due to its uncommon nature. Considering the numbering system (1, 2, and 4) doesn't provide any specific pattern or hint that could lead us to a specific door. Therefore, in order to find the most unusual door, I would check each door in turn and find any unique feature, characteristic, or detail that makes it stand out among the others. In conclusion, choosing Door 3 seems like the answer, as it is missing from the given options. Although it may not have been explicitly mentioned, it would be the oddest or least expected choice among the options provided.</t>
  </si>
  <si>
    <t>To solve this puzzle, we need to analyze the given information and understand the statement. Firstly, there are 3 doors mentioned: 1, 2, and 4. The statement says that the correct exit is "quite odd." This implies that the standard or normal exit would not be expected. In this context, it is common for people to use numbers 1, 2, and 4 (which are even numbers), while doors usually have odd numbers. Therefore, considering these observations, the most unusual or odd exit would be Door 3 since it is not a typical option. So, the correct door is Door 3. The reasoning involved analyzing the given information, understanding the context, and using the concept of odd numbers often being less used as door numbers compared to even ones.</t>
  </si>
  <si>
    <t>To solve this puzzle, we need to analyze the given information and identify key terms or phrases that might give us clues. The only direct clue mentioned is "The correct exit is quite odd." This statement suggests that the solution could be related to something unusual or unconventional. Since there are three doors, we can eliminate door 3 from our consideration, as it's not provided. The remaining options are doors 1, 2, and 4. However, the given information does not provide any further details about which of these doors would fit the description "quite odd." We cannot definitively conclude which door is the correct exit without additional context or more clues. Therefore, without more information, it's impossible to determine the correct door.</t>
  </si>
  <si>
    <t>There is one ceiling light and 3 switches: A, B, and C. You are told that only one switch works, and it is NOT switch B. The working switch is next to switch A. Which switch turns on the light?</t>
  </si>
  <si>
    <t>4z</t>
  </si>
  <si>
    <t>Switch C</t>
  </si>
  <si>
    <t>Considering the given information, since only one switch (not switch B) works and it is next to switch A, the switch that turns on the light must be switch A. Answer: Switch A.</t>
  </si>
  <si>
    <t>Since the working switch is not B and it is next to A, it must be either switch A or switch C. Since A and C both work with the same level of functionality (either turning on or off), you can choose any of them as your option. In this case, we have no additional information to determine a more specific choice. Therefore, switch A or switch C can turn on the light.</t>
  </si>
  <si>
    <t>Considering the given information, the possible switches are either A or C since they both fulfill the condition of being next to a known working switch (A) and not being switch B. To determine which one is actually responsible for turning the light on, we would need more details about their relationship with the light's circuitry. However, from the context given, it's impossible to find the exact switch without further specification.</t>
  </si>
  <si>
    <t>Since the working switch is not B and it is next to A, it can either be A or C. We don't have enough information to determine the exact working switch. But assuming it's A or C, we can turn on the light by flipping one of those switches while keeping the other fixed.</t>
  </si>
  <si>
    <t>Since switch B doesn't work, the given information states that the working switch is either A or C. As it is mentioned that the working switch is next to switch A, we can deduce that the correct switch is A. So, switch A turns on the light.</t>
  </si>
  <si>
    <t>4c</t>
  </si>
  <si>
    <t>To solve this puzzle, we must analyze the given information step by step. We know there's a single workable switch out of three - A, B, and C. We are also informed that switch B doesn't work, and the working switch is adjacent to switch A. Now, we need to determine which switch ultimately controls the ceiling light.
Since the working switch is not B, it can be either A or C, as those two remain. Knowing that the working switch is next to A means that switch A is not the final answer, because it would have to be adjacent to another switch (C) for this to make sense. However, we can't confirm that C is the working switch, as the statement only tells us that it's close to another working switch.
In summary, based on the available information, we cannot definitively determine which specific switch turns on the light without further details or clarification. It may be either switch A or switch C (or possibly some alternative configuration involving multiple switches). To fully resolve the issue, more context or constraints need to be provided.</t>
  </si>
  <si>
    <t>First, let's understand the given information: we have three switches (A, B, and C) with only one working switch. We know that the working switch isn't switch B since it was explicitly mentioned. The working switch is next to switch A, which means there could be a relationship between their positions. Since switch A has no information related to its functionality, we don't know if it's the actual working switch or not. So, we can't directly conclude that the light will be turned on by any of these three switches based on the given information. However, we can say that switch C may not be the correct switch as well, because it's not related to A or B. Therefore, we need more clues or additional context in order to solve this puzzle accurately.</t>
  </si>
  <si>
    <t>To solve this puzzle, let's analyze the given information step by step:
1. One ceiling light and 3 switches - A, B, and C.
2. Only one switch works and it's not B.
3. The working switch is next to switch A.
Now, since we know the working switch is not B, we can exclude switch B as a possibility. This leaves us with two remaining options - either switch A or switch C. Since the working switch is next to switch A, this indicates that switch A might be connected to it. This could mean that the working switch connects the circuit for the ceiling light through switch A. Therefore, it's most likely that switch A is the one turning on the light. However, it's also possible that switch C could have been placed in a similar position, but the provided information doesn't give enough context to confirm that. In summary, switch A seems to be the most logical choice based on the given clues, but there might be other possibilities too. Answer: Switch A or possibly switch C.</t>
  </si>
  <si>
    <t>To solve this puzzle, let's analyze the given information step by step:
1. We know there is a ceiling light and 3 switches - A, B, and C.
2. One of these switches works (not B), and we can assume the working switch is connected to the light in some way.
3. We are also given that the working switch is next to switch A. This implies that switch A is one of the other options, either B or C, but not the working switch itself.
Now, with these considerations in mind, we can determine which switch is most likely to turn on the light. Since switch A is located next to the working switch, it could potentially be wired in a parallel circuit along with the working switch. In a parallel circuit, when any one switch in the series is turned on, both switches receive power, turning them both on simultaneously. In this case, if switch A were turned on, it would provide additional power to the working switch and ultimately turn on the light.
Based on this reasoning, switch A is the most probable candidate for turning on the light, as it is positioned next to the working switch, implying a possible connection in a parallel circuit. However, please note that without more information about the specific wiring or configuration, there might be alternative solutions. This is just the best assumption made based on the given details.</t>
  </si>
  <si>
    <t xml:space="preserve"> We know that there's only one working switch, which is not switch B, and it is close to switch A. Let's consider each possibility for the remaining two switches A and C. Switch A cannot be the correct working switch as it is said to be located close to the working switch. This means switch C is the correct one since it is the only option left. So, the switch that turns on the light is switch C.</t>
  </si>
  <si>
    <t>AI Generated</t>
  </si>
  <si>
    <t>On a counter sit three cups labeled Tea, Juice, and Ice water. You are told that the key is taped under the cup that should feel the warmest to the touch. Where is the key?</t>
  </si>
  <si>
    <t xml:space="preserve">Under the Tea cup. </t>
  </si>
  <si>
    <t>Since the cups have different contents which impact their temperature, you would need to compare their temperatures to determine the warmest one. Considering the heat conductivity of each liquid, generally, tea would feel the warmest, followed by juice, and then ice water. Therefore, the key would likely be under the Cup with 'Tea' written on it. Keep in mind, though, there might be other factors not mentioned in this scenario that could influence the final result, such as different thickness or color of the cups or outside ambient conditions.</t>
  </si>
  <si>
    <t>To determine which cup would feel the warmest, let's consider the temperature of each drink. Tea is typically hot while juice is generally cold, and ice water is even colder. Among these options, tea would be the warmest. So the key is likely under the Tea cup. This is because when you hold the cup, it will feel warmer compared to the other two due to the difference in their temperatures.</t>
  </si>
  <si>
    <t>The answer is the cup with the "Tea" label. Since tea typically needs to be hot when served, it will feel warmer compared to other beverages when placed on a counter at room temperature. So, the place where the key is taped under would be under the "Tea" cup.</t>
  </si>
  <si>
    <t>To find the warmest cup, we need to know which one would have the lowest temperature difference between its content and room temperature. Since Tea would have a higher temperature than Ice Water due to being heated for drinking, it may be warmer. However, without specific information on room temperature, determining the exact order of warmth can't be done. Therefore, without more context, we can't determine the exact position of the key.</t>
  </si>
  <si>
    <t>Since warm implies higher temperature, among the drinks, tea is generally considered warmer than juice or ice water. So, the cup with the key would likely be labeled "Tea." The key is under the "Tea" cup.</t>
  </si>
  <si>
    <t>5z</t>
  </si>
  <si>
    <t>5c</t>
  </si>
  <si>
    <t>To solve this puzzle, we will follow these steps:
1. Identify the temperature of each beverage in the cups.
2. Determine which cup's temperature would be the highest.
3. Relate the highest temperature cup to the corresponding label (Tea, Juice, or Ice Water).
4. Consider the labeled cup and the statement that says the warmest cup has the key taped underneath it.
5. Answer the question by identifying the labeled cup that is related to the location of the key.
Step 1 - Temperatures of beverages:
Temperature of Tea: Room temperature (assuming)
Temperature of Juice: Room temperature (assuming)
Temperature of Ice Water: As cold as possible (from the name)
Step 2 - Highest temperature: Comparing the temperatures, Tea and Juice both have room temperature, while Ice Water has a colder temperature. Therefore, Tea and Juice have the same temperature, but it's higher than Ice Water.
Step 3 - Higher-temperature label: Since Tea and Juice have the same temperature, we can't accurately determine which one is warmer based on the given information.
Step 4 - Warmest cup and the key: The statement implies that the warmest cup has the key taped underneath it. However, we know from Step 3 that we don't have enough information to determine which cup is truly the warmest.
Step 5 - Answer: Based on the available information, we cannot identify the correct labeled cup where the key is taped. We need more context or clues to make a definitive conclusion.</t>
  </si>
  <si>
    <t>To solve this puzzle, we need to understand which cup has the highest temperature when touched. Since all three cups contain different liquids, they may have different temperatures. The main factor influencing the temperature of these liquids would be their initial states. To determine the order of warmth, we need to consider the properties of the liquids in the cups:
1. Tea typically has a temperature close to room temperature when freshly brewed but can cool down quickly. However, it's not usually served cold, which might make it warmer than the other two drinks in their initial states.
2. Juice often has a similar temperature range as tea when initially stored, but the warmth could vary depending on the type of juice and whether or not it's stored refrigerated.
3. Ice water typically has a temperature significantly lower than the other two drinks due to the presence of ice.
Since we don't have specific temperature values for each drink, we can only estimate based on general assumptions. It seems plausible that the Tea and Juice may be warmer than the Ice water at the beginning. Therefore, the cup with the key should be the one that feels the warmest among the three, likely either the Cup Tea or the Cup Juice. Considering both Tea and Juice might be considered even in terms of warmth, we cannot definitively pinpoint which specific cup holds the key without further information. Nevertheless, the key should be under either the Cup Tea or the Cup Juice.</t>
  </si>
  <si>
    <t>First, let's analyze the given information. We know there are three cups with labels - Tea, Juice, and Ice Water. It is mentioned that the temperature of these liquids has an impact on the warmth they provide when touched. Tea is generally served hot while juice and ice water would be chilled or room temperature. The instruction tells us to find the key under the cup that feels the warmest to the touch. Since we have no other data related to the actual temperature of the liquids, we can assume that the warmer liquid would most likely be the Tea due to its typical serving temperature. Therefore, the key should be found under the Tea cup. This reasoning is based on the assumption that the temperature difference between the liquids is significant enough for one to feel a notable difference in warmth while touching. However, it is important to remember that external factors such as the room temperature could influence the perceived warmth of the liquids.</t>
  </si>
  <si>
    <t>To determine which cup feels the warmest, we can consider various factors like the temperature of the liquid inside and the material of the cups themselves. In general, hot beverages (like tea) tend to feel warmer than cold ones (like juice or ice water). Let's analyze each option:
1. Tea - It is a hot beverage, so it may feel quite warm. However, the heat from the tea will also depend on the temperature it was stored at.
2. Juice - This is typically a cool or cold drink, making it less likely to feel particularly warm.
3. Ice Water - It is usually a very cold liquid, and the feeling of warmth would be minimal compared to other options.
Based on these assumptions, the most logical assumption is that the Tea cup would feel the warmest to the touch due to its natural state being in a higher temperature range. Since the key is taped under the cup that should feel the warmest, the key is likely beneath the Tea cup. This reasoning takes into account the properties of the liquids inside the cups and how they affect the perceived warmth. While there might be variations in the actual temperatures, these general assumptions are still helpful in making an educated guess.</t>
  </si>
  <si>
    <t>To solve this puzzle, we need to understand the properties of these different drinks and how their temperature changes in various environments. First, let's look at the common temperature ranges for each drink:
1. Tea: Room temperature to hot (can vary greatly)
2. Juice: Cold to room temperature (loses its coolness quickly)
3. Ice Water: Very cold (directly from the freezer or fridge)
Now, considering that the key is taped under the cup feeling the warmest to the touch, it's likely that the warmth will dissipate over time, making the other cups feel warmer than they actually are. Therefore, even though the initial temperatures of these cups might be different, we should focus on the warmest feeling we have after a period of time. This would be the most accurate representation of the heat transfer.
Given that the tea starts off as a variable temperature (hot to room temperature), it could potentially become cooler or warmer depending on the environment it is in. The juice will always lose some of its coolness due to its lower temperature range. Ice water, being the coldest, will gradually lose its coldness over time and start to feel less cold as well.
Taking all these factors into account, the key taped under the cup that feels the warmest to the touch would be difficult to pinpoint accurately without more specific information about the environment and the passage of time. However, considering the given clues, I would assume that the key might be taped under the Tea cup initially, but due to the fluctuation in temperatures, the key might move around and find a new 'warm' cup in the end. The answer would change based on the context.</t>
  </si>
  <si>
    <t>6z</t>
  </si>
  <si>
    <t>You see three boxes on a table: red, blue, and brown. A note says "Prize is not in a primary color box", where is the prize?</t>
  </si>
  <si>
    <t>In the brown box</t>
  </si>
  <si>
    <t>The prize cannot be in the red, blue, or brown boxes since these are considered primary colors. However, we don't have any information about what the other options are that could also be non-primary colored boxes. To determine the location of the prize accurately, more context is needed.</t>
  </si>
  <si>
    <t>The prize cannot be in either of the red, blue, or brown boxes since these colors are primary colors. Since the note mentions that the prize is not in a primary color box, it should be in a non-primary colored box. However, the puzzle does not provide information about another box's color. We would need more details to determine the exact color of the prize box.</t>
  </si>
  <si>
    <t>Since primary colors are red, blue, and yellow, and brown is not a primary color, the prize is likely to be in either the red or blue box. However, we cannot confirm the exact location without further information.</t>
  </si>
  <si>
    <t>The prize is not in the red, blue, or brown boxes because they are all primary colors (red, blue, and yellow). Since none of these colors are mentioned as the prize's location, we can infer that it's likely in a non-primary color box, which doesn't exist among the given options. To find the exact color of the box, more information would be needed.</t>
  </si>
  <si>
    <t>The prize is not in the red, blue, or brown boxes since these are all primary colors. So, it must be in one of the non-primary color boxes, which means it could be in any other color box that doesn't belong to the primary group.</t>
  </si>
  <si>
    <t>Firstly, we need to identify which colors are considered primary. Primary colors typically include red, blue, and yellow. Since yellow is not mentioned, we can infer that it's not one of the boxes. Now, we have two remaining options - red and blue, both being considered secondary or tertiary colors. The clue states that the prize is not in a primary color box. Knowing the given information, neither the red nor the blue box can be primary, as they are not primary colors themselves. Therefore, the prize must be in the third box which is the brown one. This reasoning is based on elimination due to the classification of the colors and understanding the given statement about non-primary colors.
Answer: Prize is in the brown box.</t>
  </si>
  <si>
    <t>We know that primary colors are red, blue, and yellow. Since we have been given information that the prize is not in a primary color box, we can eliminate the red and blue boxes as possible locations for the prize. The only remaining color is brown, which is a secondary color but not a primary one. So, the most likely place for the prize to be is in the brown box. However, it's important to remember that without more context or clues, there might still be another possibility. But based on the provided data, the brown box has the highest probability of containing the prize.
Answer: Brown box</t>
  </si>
  <si>
    <t>To solve this puzzle, we need to identify which colors are considered primary colors. The primary colors are typically red, blue, and yellow. Now, since the note explicitly states that the prize is not in a primary color box, it means we have to consider the remaining color options, which are red, blue, and brown (as these are not primary colors). Therefore, the prize will be in either the red, blue, or brown box. However, without any additional information, we cannot determine exactly which one of those boxes contains the prize.
Answer: The prize is likely in a non-primary color box (red, blue, or brown)</t>
  </si>
  <si>
    <t>To solve this puzzle step by step, we need to identify which colors are primary and eliminate the corresponding boxes. Primary colors are red, blue, and yellow. Since yellow is missing from the given options, we can conclude that the prize cannot be in the yellow box. Therefore, we have two remaining colors: red and blue. However, we don't know their locations within the boxes or if there is a secondary color box that has the prize. We must consider that the prize could be in any of these two remaining boxes. Since there is no more information available, it is impossible to provide the exact location of the prize with certainty.
Answer: The prize might be in either the red or blue box, but we cannot be sure without further details on other possible colors or their locations.</t>
  </si>
  <si>
    <t>Step 1: Identify the primary colors. The primary colors are typically considered as red, blue, and yellow.
Step 2: Understand that the question states the prize is not present in any of the primary color boxes.
Step 3: Apply the knowledge of the mentioned primary colors.
Step 4: Since yellow is not among the given colors (red, blue, and brown), we can focus on the two secondary colors (which are formed by mixing two primary colors).
Step 5: Red and Blue combined create Violet which is not a primary color, so it's not a box color.
Step 6: Brown is a secondary color created by mixing Red and Blue. Since Brown is not a primary color, it's not a box color either.
Step 7: Concluding, only one option remains; the prize should be in the Red box since it is the only non-primary color box. The reasoning lies in ruling out primary colors and understanding the nature of other color combinations.</t>
  </si>
  <si>
    <t>6c</t>
  </si>
  <si>
    <t>There are three doors: A, B and C. A sign reads: "The alarm is connected to exactly one door. Door A is safe. Door B is NOT safe." Which door can you safely use to exit without triggering an alarm?</t>
  </si>
  <si>
    <t>Door A</t>
  </si>
  <si>
    <t>Solve this puzzle:  Just give me the answer.</t>
  </si>
  <si>
    <t>Since we know that Door A is safe and there are only two options left, which are Doors B and C, we can deduce that one of them has the alarm connected. As for Door B being not safe, it should be the one with the alarm connection. So, the safest option to exit without triggering an alarm would be to use Door C.</t>
  </si>
  <si>
    <t>Considering the information given, we know that the alarm is connected to one of the two unsafe doors (B or C). Since A is safe and B is not, this implies that either B or C is the door with the alarm. However, without additional information on the state of the alarm, it's impossible to determine which exact door has the alarm. So, the safest strategy would be to assume that any of the potentially unsafe doors might have the alarm and avoid them both. Therefore, you can only exit through door A safely.</t>
  </si>
  <si>
    <t>The answer is Door A, as it is mentioned that Door A is safe and Door B is not safe, implying that they are the two possible alarmed doors leaving Door C unmentioned. Since Door C is not specified, we cannot assume it to be the alarmed door. Therefore, Door A is the safest option to use without triggering an alarm.</t>
  </si>
  <si>
    <t>The safest door to exit without triggering the alarm is Door A since it is mentioned as 'Door A is safe' and Door B is not safe. This implies that Door B has the alarm connection while Door A does not have any alarm connection.</t>
  </si>
  <si>
    <t xml:space="preserve"> Since we know that the alarm is connected to only one door and Door A is safe, it means either Door B or Door C has the alarm connected to them. However, it's also mentioned that Door B is NOT safe. This leaves us with Door C as the safest option for exiting without triggering the alarm, while still avoiding the potentially unsafe Door B.</t>
  </si>
  <si>
    <t>Solve this puzzle step-by-step. Think carefully about each clue before giving your final answer.  Explaining your reasoning first, then answer.</t>
  </si>
  <si>
    <t>First, we know that only one door has the alarm connected to it, and from the information given, we can eliminate Door A, as it's mentioned to be safe. So, we are left with two options - Door B and Door C. Since Door B is NOT safe, it implies the opposite - it could be dangerous or have the alarm connected to it. Therefore, we will take Door C for exiting without triggering an alarm, as it's not explicitly mentioned to be unsafe. But remember, we still don't have complete information, so there might be additional factors that we cannot account for. However, with the given clues, our conclusion stands based on the provided context. The final answer is Door C.</t>
  </si>
  <si>
    <t>To solve this puzzle, we need to identify the door where the alarm is connected. We know that the alarm is connected to only one door. We also know that Door A is safe and Door B is not. Since we're looking for the door we can use safely, we should avoid Door B since it's not safe. Now, let's assume that the alarm is on Door A, which would make Door B inactive but still unsafe. However, if the alarm is on Door B, then Door A would be inactive, making it safe. As a result, both Door A and Door B could potentially be safe exits depending on the placement of the alarm. Therefore, we cannot definitively determine a completely safe exit without triggering an alarm due to the given information.</t>
  </si>
  <si>
    <t>Let's analyze the given information step by step. We know that the alarm is connected to only one of the three doors (A, B, or C). We are also told that Door A is safe and will not trigger the alarm. Door B is NOT safe and will trigger the alarm if used. Since we have two options left (Doors B and C), we can deduce that among these, only one of them might be connected to the alarm, which means the other door must be safe. Therefore, considering the possibilities, we can choose either Door B or Door C to exit without triggering the alarm as we don't know for certain which one is the actual alarm-connected door. However, we have no guarantee that our chosen door won't set off a previously unmentioned triggering mechanism.</t>
  </si>
  <si>
    <t xml:space="preserve"> Firstly, we know that the alarm is only connected to one of the doors, let's eliminate options which may have alarms. We understand that Door A is safe, so we can exclude it from further consideration. Now we are left with Doors B and C. Since Door B is mentioned as NOT safe, it likely has the alarm. Therefore, the safest option to exit without triggering an alarm would be to choose Door C. The reasoning here is based on eliminating potential triggers and considering the given information.</t>
  </si>
  <si>
    <t>To solve this puzzle, let's analyze the given information step by step. First, we have three doors: A, B, and C. The alarm is connected to only one of them, which leaves two other options that might be unalarmed. We are given that Door A is safe (unrelated to the alarm), but we know nothing about Doors B or C. We also learn that Door B is not safe, meaning it has the alarm on it, making it an undesirable choice. This leaves us with the remaining door, which could potentially be either Door A (the safe one) or Door C (untested). If we were to choose Door A again, we would know its safety is unrelated to the alarm system. However, since we don't want to take any chances, it's better to avoid the door that has been clearly identified as unsafe due to the alarm connection. Therefore, the best option for exiting without triggering the alarm is to use Door A, even though it's already mentioned as a safe door. It ensures that the exit isn't related to the alarm system and provides additional reassurance compared to the untested Door C.</t>
  </si>
  <si>
    <t>There are three lamps: red, yellow, and green. A note says: "only the lamp that means go will turn on when you press it". Which lamp should you press?</t>
  </si>
  <si>
    <t>The green lamp</t>
  </si>
  <si>
    <t>7z</t>
  </si>
  <si>
    <t>To determine which lamp to press, you need to understand the common meanings of the colors in traffic lights. Red usually means 'stop', green means 'go' or 'proceed with caution', and yellow represents a transition state between the two. Since the context involves a single person pressing a button for a specific action, it is more likely to align with the general concept of 'green' representing 'go'. So, press the green lamp.</t>
  </si>
  <si>
    <t>The green lamp should be pressed as it represents "go."</t>
  </si>
  <si>
    <t>The answer would be the green lamp since green typically represents "go" in traffic light contexts. However, interpretations can vary depending on context, so choose wisely based on your specific situation.</t>
  </si>
  <si>
    <t>You should press the green lamp, as green generally symbolizes 'go' or progression in various contexts, making it the most likely choice for the given scenario. However, please note that colors can have different meanings across cultures or specific situations, so always use your judgment based on context.</t>
  </si>
  <si>
    <t>Since "go" typically represents moving forward, the lamp associated with that action would be the green lamp as it has a connection to progress and moving ahead in traffic signals. Hence, press the green lamp.</t>
  </si>
  <si>
    <t>Step 1: Identify the meanings of the colors in traffic lights. Generally, red means stop, yellow means caution, and green means go.
Step 2: Understand the given context. The context states only the lamp that represents "go" will be turned on by pressing.
Step 3: Apply the knowledge from the first two steps to the given lamps (red, yellow, and green). In this case, the green lamp signifies "go."
Step 4: Determine which lamp to press based on the given criteria. Since we need to press a lamp that means 'go', the green lamp is the correct choice.
Answer: Press the green lamp.</t>
  </si>
  <si>
    <t>To solve this puzzle, we need to understand the meanings of the colors in relation to traffic signals or lights in general. Red usually means stop, yellow means caution, and green means go. Since we have a note saying 'only the lamp that means go will turn on', it is clear that we should focus on the lamp representing the 'go' action. This leaves us with either the red or green lamp. We can eliminate the red lamp as it represents the opposite action ('stop'). Therefore, the final answer is that you should press the green lamp because it symbolizes the act of going and aligns with the note's statement.</t>
  </si>
  <si>
    <t xml:space="preserve"> To determine which lamp to press, we need to understand the meaning of each color in context with traffic signals or any other common understanding of the colors. Red usually implies stop, yellow often signifies caution, and green generally represents go. In the given scenario, we are looking for the lamp representing 'go'. Since 'go' aligns most closely with the meaning of the green lamp, I would suggest pressing the green lamp. Reasoning: by relating the puzzle's context to commonly used meanings of the colors, we can deduce that the green lamp is the one associated with progress or movement, which would be similar to the action of "going" mentioned in the problem. Therefore, it is most likely that the green lamp would indeed turn on when pressed, as per the given rule.</t>
  </si>
  <si>
    <t>First, we must understand the meanings of the colors associated with the lamps. Red usually represents stop or danger, yellow often suggests caution, while green commonly signifies go or proceed. Keeping these meanings in mind, we can assume that the lamp meant to indicate 'go' would be the green one. The instruction states that when pressed, the lamp should turn on to signal the way ahead. Following this logic, we should press the green lamp, as it aligns with the goal of progressing or moving forward.</t>
  </si>
  <si>
    <t>Step 1: Understand the context - We have three lamps with different colors (red, yellow, and green) and one of them corresponds to the word 'go'.
Step 2: Identify the role of the color 'go' - The given instruction tells us to only use the lamp representing 'go', which implies it's associated with the action of starting or moving forward.
Step 3: Relate the given lamps' meanings to the concept of 'go' - Red usually indicates 'stop', yellow means 'caution', and green often represents 'go'. Therefore, the green lamp is most likely the one corresponding to the word 'go' and would be the lamp we should press.
Answer: Press the green lamp.</t>
  </si>
  <si>
    <t>Three safes are labeled 7, 9 and 3. A note says: "The password is in the safe with the highest number." Which safe should you open?</t>
  </si>
  <si>
    <t>Safe 9</t>
  </si>
  <si>
    <t>7c</t>
  </si>
  <si>
    <t>8z</t>
  </si>
  <si>
    <t>Since the highest numbered safe is labeled 9, you should open the safe labeled 9 to find the password.</t>
  </si>
  <si>
    <t>Since 9 is the highest number among 7, 9, and 3, the password should be in the safe with label 9. So, you should open Safe 9.</t>
  </si>
  <si>
    <t>Since the highest numbered safe is the one labeled 9, you should open that safe to find the password.</t>
  </si>
  <si>
    <t>The password will be in the safe labeled 9 since it has the highest number among the given options (7, 9, and 3). Open that safe to find the password.</t>
  </si>
  <si>
    <t>Since the highest numbered safe is labeled 9, the password will be found in that safe. So, you should open the safe labeled 9.</t>
  </si>
  <si>
    <t>8c</t>
  </si>
  <si>
    <t>To solve this puzzle, we need to compare the numbers on the three safes, which are 7, 9, and 3. We must find the largest number among them.
Step 1: Identify the largest number. Comparing 7, 9, and 3, 9 is the largest.
Step 2: Since the password is in the safe with the highest number, we can infer that it should be in the safe marked 9.
Final Answer: Open the safe labeled 9 as it has the highest number. This is because we compared all numbers given and found out 9 is the largest one, so the password should be related to this safe according to the provided clue.</t>
  </si>
  <si>
    <t>First, we need to identify which safe has the highest number. The safes are labeled as 7, 9, and 3. Comparing these numbers, 9 is the highest among them. Therefore, according to the given clue that the password is in the safe with the highest number, we should open safe 9. This reasoning is based on simply understanding the order of numbers and interpreting the clue accordingly.</t>
  </si>
  <si>
    <t>First, we need to identify the safes with the highest numbers. We have three safes labeled 7, 9, and 3. The highest number among these three is 9 as it's the only one greater than 7 and 3. Therefore, according to the given information, the password would be in the safe with the highest label, which is Safe 9. Our reasoning revolves around understanding that the problem's hint is directing us to choose the safest (in terms of the numerical value) one for the password. Hence, Safe 9 is chosen based on this criterion.</t>
  </si>
  <si>
    <t>First, we need to identify which safe has the highest number among them. The safes are labeled 7, 9, and 3. Comparing these numbers, we find that 9 is the highest number, followed by 7 and then 3. Now we know that the password is in the safe with the highest number (which is labeled 9). So, the safe to open is labeled 9. My reasoning was based on understanding the given information and finding which safe has the highest label indicating its importance in the context of the puzzle.</t>
  </si>
  <si>
    <t>First, we need to compare the numbers on the three safes' labels. The numbers are 7, 9, and 3. Among these, the highest number is 9 as it is greater than both 7 and 3. Given the clue that the password is in the safe with the highest number, we can infer that the safe with label 9 is the one containing the password. Thus, the safe we should open is labeled 9.</t>
  </si>
  <si>
    <t>9z</t>
  </si>
  <si>
    <t>9c</t>
  </si>
  <si>
    <t>sequencing</t>
  </si>
  <si>
    <t>Four people lining up to leave the room: Alex, Bella, Chris, and Dana. Alex is first in line. Dana is last in line. Bella is in front of Chris. What is the order from first to last?</t>
  </si>
  <si>
    <t>Alex, Bella, Chris, Dana</t>
  </si>
  <si>
    <t>The order from first to last is: Alex, Bella, Chris, Dana.</t>
  </si>
  <si>
    <t>The order from first to last is: Alex, Bella, Chris, and Dana.</t>
  </si>
  <si>
    <t>The order is Alex, Bella, Chris, and Dana.</t>
  </si>
  <si>
    <t xml:space="preserve"> The order from first to last is: Alex, Bella, Chris, Dana.</t>
  </si>
  <si>
    <t>Let's analyze the given information step by step:
1. We know that the order is Alex, Bella, Chris, and Dana.
2. Alex is mentioned as the first person in line.
3. Dana is mentioned as the last person in line.
4. Bella is described as being in front of Chris.
Now let's arrange these people considering their relative positions:
1. Alex (first)
2. Bella (in front of Chris)
3. Chris (behind Bella)
4. Dana (last)
By connecting the dots, we get the complete order from first to last as: Alex, Bella, Chris, and Dana.</t>
  </si>
  <si>
    <t>To solve this puzzle, we need to follow the given clues and arrange them in a way that creates a logical sequence. We have four people - Alex, Bella, Chris, and Dana. We know their positions in the line based on the clues provided.
1. Alex is first in line (He is at the beginning, and there are no people mentioned before him).
2. Dana is last in line (This means she is at the end, so no one comes after her).
3. Bella is in front of Chris (They are next to each other, but Bella is slightly ahead).
Now that we have these relationships, let's place them in order. Since Alex is the first person, he would be placed at position 1. Since Dana is the last person, she should be at position 4. Placing Bella in front of Chris would make Bella at position 3 and Chris at position 2. So the order from first to last is Alex (1), Bella (3), Chris (2), and Dana (4).</t>
  </si>
  <si>
    <t>Firstly, we know that there are four individuals - Alex, Bella, Chris, and Dana. We are given the following information:
1. Alex is first in line.
2. Dana is last in line.
3. Bella is in front of Chris.
Now let's analyze these statements one by one. Statement 1 indicates that Alex is before anyone else in the queue, so he is the first person in the lineup. Statement 2 tells us that Dana is last, meaning she is after everyone else. This doesn't give any new position details but confirms her position at the end. Lastly, statement 3 informs us that Bella is in front of Chris. Considering this, Bella must be between Alex (who is already established to be first) and Chris, who has not yet been placed in a specific order. Therefore, the order from first to last would be Alex, Bella, Chris, and finally, Dana.</t>
  </si>
  <si>
    <t>To solve this puzzle, we will analyze the given information step by step, which states that the people are arranged as follows: Alex (first), Bella (in front of Chris), Chris (somewhere), and Dana (last). We need to arrange them in the correct order from first to last.
Step 1: Alex is the first person, so we know that he is at the beginning of the line.
Step 2: Bella is in front of Chris, which means Bella is not only ahead of Chris but also not after anyone else mentioned. So, considering the position of Alex, Bella must be in the middle.
Step 3: Now, let's consider the position of Dana, who is mentioned to be the last one in line. Since there's no other information implying that Dana should be in a different position, she must be at the end of the line.
Step 4: Combine all the positions to form the complete order: Alex, Bella, Chris, Dana.
So, the order from first to last is Alex, Bella, Chris, and Dana.</t>
  </si>
  <si>
    <t>To solve this puzzle, we need to analyze the given information step by step. We know that:
1. The order should be from first to last place in the line.
2. Alex is first in line.
3. Dana is last in line.
4. Bella is in front of Chris.
Now, let's use this information to determine the order. Since Alex is first, and there's no one mentioned before him, he would stay in the first place. With Bella being in front of Chris, it means she's before Chris in the line but not necessarily the very end. So, we can arrange them like this: Alex (first) -&gt; Bella (before Chris) -&gt; Chris (last before Dana) -&gt; Dana (last). This gives us the complete order: Alex, Bella, Chris, Dana. The reasoning for each placement comes from the provided conditions.</t>
  </si>
  <si>
    <t>You have three keys: Small, Medium, and Large. You need to hang them on the hooks from left to right. The medium key is between the other two. The large key is on the left. What is the order from left to right?</t>
  </si>
  <si>
    <t xml:space="preserve">Large, Medium, Small. </t>
  </si>
  <si>
    <t>10z</t>
  </si>
  <si>
    <t>10c</t>
  </si>
  <si>
    <t>Small, Medium, Large.</t>
  </si>
  <si>
    <t>The order from left to right is Small, Medium, and Large.</t>
  </si>
  <si>
    <t>The order from left to right is: Small, Medium, and Large.</t>
  </si>
  <si>
    <t>The order from left to right is: Large, Medium, Small.</t>
  </si>
  <si>
    <t>To solve this puzzle, we start with the given information. We know that the Large key is on the left. So, it will be at position 1. The Medium key is between the other two, which means it will be between the Small and the Large key, making it at position 2. As there is only one Small key left, it will be in position 3. Combining these positions, the order of keys from left to right will be Large, Medium, and Small. My reasoning involved understanding the relationship between the different keys and their respective positions based on the given clues.</t>
  </si>
  <si>
    <t>First, we identify that the Medium key is between the other two (Small and Large). This implies it's either placed to the left or the right of both Small and Large. Since the Large key is on the left, the only option for the Medium key's position is to be on the right of the Small key and to the left of the Large key. Therefore, the order from left to right is Small, Medium, and Large. My reasoning involved analyzing the given clues step by step, eliminating options based on the provided information, and finally determining the most fitting arrangement based on the remaining choices.</t>
  </si>
  <si>
    <t>Firstly, we know that the large key is on the left side. This leaves us with the small key and the medium key for the middle and right positions. The medium key must be in the middle since it's between the other two. Therefore, the order from left to right is Large, Medium, and Small. This arrangement satisfies all the given clues by placing the large key on the left, the medium key in the middle, and the small key on the right.</t>
  </si>
  <si>
    <t>To solve this puzzle, we can break it down into individual clues and understand their implications.
1. The medium key is between the other two - This indicates that the small key is to the left of the medium one and the large key is to the right of the medium one.
2. The large key is on the left - This means the large key should be placed at the extreme left, possibly with the small key to its immediate right.
By combining these insights, the order from left to right can be arranged as follows: Large, Small, Medium. I reasoned by considering the provided information regarding the positioning of the different keys in relation to each other and ensuring that all conditions were met.</t>
  </si>
  <si>
    <t>Firstly, we know that the small key is not the largest one since it is mentioned to be on the left side of the large key. The large key is on the left, which means it is the furthest left. Now, let's consider the medium key being in the middle. This places it between the small key (on the left) and the large key (on the right). Therefore, the order from left to right would be Small, Medium, and Large. The reasoning behind this arrangement is based on the given information about each key's position relative to the others and the understanding that the medium key must be in between the small and large keys.</t>
  </si>
  <si>
    <t>11z</t>
  </si>
  <si>
    <t>Spatial</t>
  </si>
  <si>
    <t>There is a wall shelf with 3 levels: top, middle, and bottom. A note says: "The key is directly below the plant and the book." Looking at the shelf, you see: A plant on the top level, A book on the middle level. On which shelf level is the key?</t>
  </si>
  <si>
    <t>The bottom shelf</t>
  </si>
  <si>
    <t>Since the key is directly below the plant and the book, considering their positions on the shelf, it should be on the bottom level as it is the level below both the plant and the book.</t>
  </si>
  <si>
    <t>Since the note says that the key is directly below the plant and the book, it should be on the same level as the plant, which is on the top level. Therefore, the key is on the top level.</t>
  </si>
  <si>
    <t>Since the key is directly below the plant and the book, it can be under the plant or the book. However, the note specifies that it is "below" both the plant and the book which would imply that it's closer to the surface of the bottom part, but not on either the top or middle levels. Therefore, the most likely level for the key is the bottom shelf.</t>
  </si>
  <si>
    <t>The key is on the bottom level since it is directly below the plant and the book, both of which are on different levels (top and middle).</t>
  </si>
  <si>
    <t>The key should be on the bottom level since it's directly below the plant and the book, which are both on different levels above.</t>
  </si>
  <si>
    <t>11c</t>
  </si>
  <si>
    <t>To determine the level where the key should be located, we have to consider the given information about the position of the plant and the book in relation to the key. The note states that the key is directly below the plant and the book, which means it has to be beneath both the plant and the book. Since the plant is on the top level and the book is on the middle level, we need to look for a place where a lower level exists between these two levels. We can only find this space between the middle and the bottom levels. Therefore, the key is likely to be on the bottom level.</t>
  </si>
  <si>
    <t>To begin the process of solving this puzzle, let's analyze all the given information: we have a wall shelf with three levels - top, middle, and bottom. The location of the key is mentioned to be directly below a specific item. The key is related to a plant and a book. We are given their positions: the plant is on the top level and the book is on the middle level. Now, to find where the key is, we need to identify which of the two items (plant or book) is adjacent to the key as it has been stated that the key is between these two. The key must also be located directly below one of them. From our understanding of the problem, the key cannot be in the same level as the plant since it's on the top shelf, and it cannot be on the same level as the book since it's on the middle shelf. Given these constraints, the only possible position for the key would be directly below either the plant or the book but not on the same shelf as any of them. The positioning of the key would be in the lower level compared to the other two levels. Considering this, I believe the key is on the bottom level of the wall shelf. This conclusion is drawn based on the given information and logical assumptions made while trying to determine the relationship between the key, the plant, and the book in terms of their relative positions. So, the key can be found on the bottom level of the wall shelf.</t>
  </si>
  <si>
    <t xml:space="preserve"> Firstly, we know that the note specifies the key's position in relation to certain objects, namely a plant and a book. The plant is on the top level, and the book is on the middle level. The note states that both the plant and the book are not the actual key, but they give us clues about the key's location. It mentions that the key is "directly below" one of these items (the plant or the book). Since the plant is on the highest level (top), it would be harder for something to be directly beneath it because there is no space above the shelf to place the key. In contrast, the book is on the middle level, which means it has two shelves below it - the bottom level and the floor. This makes more sense for having an item directly beneath it. Considering the given information, the key is most likely located on the bottom level.</t>
  </si>
  <si>
    <t>To solve this puzzle, we need to consider the given information: a wall shelf with three levels - top, middle, and bottom. We also have a note stating that the key is directly below the plant and the book. We know that there's a plant on the top level and a book on the middle level. Since the note mentions the plant and the book being related to the key's position, we can infer that the key should be placed somewhere in the vertical line perpendicular to the shelf. The plant is on the top level, the book is on the middle level, and the shelf has one more level after the book (the bottom level). Therefore, the key should be on the same level as the top of the book, which is right below the book but not beneath the plant. This means the key would be on the top shelf (the same level as the book's position) but not at the exact same place as the book or the plant. So, the key is on the top shelf level, just above the book.</t>
  </si>
  <si>
    <t>To solve this puzzle, we need to analyze the given information and use logical reasoning to infer the position of the key. We know there are three levels: top, middle, and bottom. The clue states that the key is directly below the plant and the book. Let's look at the positions of these items: the plant is on the top level, the book is on the middle level. Since both items are mentioned in the clue and they have specific locations, we can deduce their relative positions using the clue. If the book is on the middle level, it should be one level above the bottom level. The plant is on the top level, so the bottom of the plant's location would be one level below the top level. By relating the positions of the key (below the plant and the book), we can infer that the key would be located somewhere near the bottom level but not directly on it. However, we do not have enough information to determine its exact location within the bottom level. But based on the given details, we can estimate that the key might be close to the bottom level or possibly on a very low part of it.</t>
  </si>
  <si>
    <t>medium</t>
  </si>
  <si>
    <t>12z</t>
  </si>
  <si>
    <t>There is a square table in the center of the room with one chair on each side: north, east, south, and west. Alice is sitting on west side, facing east. Bob is sitting on the east side, facing west. The exit door is in front of Bob. Which of the wall contains the exit door?</t>
  </si>
  <si>
    <t>The west wall</t>
  </si>
  <si>
    <t>To find which wall contains the exit door, we need to know which direction "front" is for Bob, as he is the one near the exit. Since he faces west, and people typically face the entry or exit when entering or leaving, it can be assumed that the exit door is at the back. Therefore, the opposite wall to the back (where Bob is) would contain the exit door. In this case, the wall containing the exit door is the wall to the west of where Bob is currently sitting.</t>
  </si>
  <si>
    <t>The wall containing the exit door is the east wall, as it is in front of Bob who is on the east side of the table.</t>
  </si>
  <si>
    <t>The exit door is in front of Bob, which means it is on the same wall as the east side. So, the wall containing the exit door is the east wall.</t>
  </si>
  <si>
    <t>Since the exit door is in front of Bob who is sitting at the east side and facing west, it means the door is on the opposite side of the east wall which is to the west. So the wall containing the exit door is the west wall.</t>
  </si>
  <si>
    <t>The exit door is in front of Bob, so it is on the east side or the wall corresponding to the east side where the exit door is located.</t>
  </si>
  <si>
    <t>12c</t>
  </si>
  <si>
    <t>To determine which wall contains the exit door, we need to analyze the given information and infer its location based on where people are sitting. Since Alice is sitting at the west side and facing east, she would be looking towards Bob who is at the east side and facing west. This indicates that the space between Alice and Bob forms a line, so we can assume that the exit door is located on the same side as that line. Now, we know that the exit door is in front of Bob. Since he is facing west, it means his 'front' or the side of his body which faces the exit door is also his 'right.' Therefore, the wall which contains the exit door will be the 'south' wall because it is the right side to Bob, who is on the 'east' side. So, the exit door is in the south wall.</t>
  </si>
  <si>
    <t>To find the wall containing the exit door, we need to identify Bob's position relative to the door. We know that the direction he is facing is towards Alice's left side, which is the west side. Since Alice is sitting at the west side, she must be on the opposite or the east side. Now, considering the fact that people are facing the table, it means Alice also faces east. Therefore, to the right of Alice, there would be the east side's chair which has Bob sitting on it. Since the exit door is in front of Bob, it implies the door should be to his right too. Concluding all these observations, the wall containing the exit door is adjacent to the east side of the table. The exit door might not be directly on the east side's wall but it's definitely within the same plane as that wall.</t>
  </si>
  <si>
    <t>To analyze this problem, we need to understand the relative positions and movements between the characters and the exit door. Let's break it down:
1. Alice is on the west side facing east.
2. Bob is on the east side facing west.
3. The north, south, and west chairs are unoccupied.
4. The exit door is in front of Bob, who is sitting on the east side.
5. Since people can move, we must consider that they might face the door while moving towards it or move around the table to access it.
Now let's think about which walls the exit door could be on. The room must have at least two walls for the exit door to be on. We don't know the exact shape of the room, but let's assume a simple rectangular room for simplicity. In such a room, there would be three types of walls: front, back, and sides.
Given the information, the exit door is in front of Bob, which means it is visible from his position when facing west. This indicates the exit door could either be on the front (north) wall or the back (south) wall. However, if Bob were to face the door and walk towards it, he would have to pass through the west side chair to do so, which means the door couldn't be on the front wall.
Taking this into account, it's most likely that the exit door is located on the south (back) wall since Bob doesn't have to go past any chair to reach it. Keep in mind that this conclusion is based on the limited given information and some assumptions, and might not hold true in more complex environments.
Answer: The exit door is most likely on the south (back) wall.</t>
  </si>
  <si>
    <t xml:space="preserve"> To solve this puzzle, we need to understand the spatial relationships among the people and the objects present in the room. We know that Alice and Bob are both sitting on opposite sides of the table. Since Alice is sitting on the west side, she is facing east. This means the chair on her left side is for someone else - let's say it's occupied by Chris (who would also be looking towards the east). Moving along the table clockwise from Alice, the next chair is on the east side, occupied by Bob. He is facing the same direction as Alice but has the exit door in front of him. Therefore, he faces the wall containing the exit door. Considering the positions of the other chairs, we can deduce that the exit door would be on the same wall where the east chair is situated. So, the wall containing the exit door is the east wall.</t>
  </si>
  <si>
    <t>First, let's understand the given situation. We have a table with chairs and people arranged around it in their respective positions. People are facing specific directions according to where they are seated. Now, we need to determine which wall has the exit door based on this setup.
1. Let's identify the walls surrounding the room. There are four cardinal directions - North, East, South, and West. So, there could be walls in each direction.
2. Since Alice is at the west side, we can say that the west wall is her back. Similarly, Bob is at the east side with his back towards the west side, meaning the east wall is his back as well. The south and north walls don't have any specific chairs mentioned, but we can assume they also exist in these two directions.
3. As per the problem, the exit door is said to be in front of Bob (East). This means the East wall is where the exit door is located.
4. Therefore, the wall that contains the exit door is the East wall, and this reasoning is based on understanding the positioning of people and doors in relation to their respective chair and direction placements.</t>
  </si>
  <si>
    <t>You are in a rectangular room. On the north wall, there is a painting. On the east wall, there is a window. On the south wall, there is a bookshelf. On the west wall, there is a door.
Initially, you are standing in the center of the room, facing the painting (so you are facing north).
Suddenly, the entire room rotates 90 degrees clockwise around its center, including all walls and objects inside it, but you do not rotate with it. You stay in the same physical orientation relative to the building (you are still facing the same absolute direction in the world).
After the rotation:
Which object is now directly in front of you?</t>
  </si>
  <si>
    <t>The door</t>
  </si>
  <si>
    <t>13c</t>
  </si>
  <si>
    <t>hard</t>
  </si>
  <si>
    <t>After the rotation, the door is now directly in front of you since you are still facing the same absolute direction in the world.</t>
  </si>
  <si>
    <t>After the rotation, the painting that was initially on the north wall is now directly in front of you as you are still facing the same absolute direction in the world.</t>
  </si>
  <si>
    <t>After the rotation, the window will be directly in front of you since it was initially on the east wall which moved to your current facing direction (north) due to the 90-degree clockwise rotation.</t>
  </si>
  <si>
    <t>After the rotation, the bookshelf is now directly in front of you as you are still facing the same absolute direction in the world.</t>
  </si>
  <si>
    <t>After the rotation, the object that is now directly in front of you is the door on the west wall. This is because the initial orientation where you were facing north was replaced with the north wall becoming the east wall, making the door your new viewpoint.</t>
  </si>
  <si>
    <t>13z</t>
  </si>
  <si>
    <t xml:space="preserve"> The reasoning behind which object is now in front of you after the 90-degree clockwise rotation is that since you didn't move during the rotation and stayed in the same physical orientation relative to the building, your original direction (north) remains unchanged. Since you were initially looking towards the north (painting) and the room rotated clockwise, the painting will maintain its position relative to you. This means that the painting would be located on your left side instead of the front. Therefore, the object closest to being in front of you from the provided options (which are painting, window, bookshelf, or door) is the painting. To clarify, no other object is exactly facing you due to the nature of the rotation.</t>
  </si>
  <si>
    <t>First, let's analyze the situation after the rotation. Since the room rotated 90 degrees clockwise, we can think of the initial directions as having shifted 90 degrees counterclockwise. In the initial state, the painting was on the north wall and I was facing it, which means my initial facing direction was north. The rotation changed that to an equivalent direction 90 degrees counterclockwise, which would be west. Therefore, the object which is now directly in front of me is the door since it is on the west wall. I chose this answer because I considered the original facing direction, the room's rotation, and the updated positions of the objects in the new orientation.</t>
  </si>
  <si>
    <t>To solve this problem, let's go through the steps. Initially, you are facing the painting on the north wall. The room rotates 90 degrees clockwise. Considering that the painting didn't change its location during the rotation, the rotation effectively shifts the wall with the painting towards the east, creating a new north wall. The old north wall becomes the west wall since the rotation was clockwise. The window, which initially was on the east wall, will now be on the south wall, and the bookshelf on the south wall will now be on the east wall. As for the door, it remains on the west wall.
Now, you are still facing the same absolute direction in the world as you were before the rotation, which means you are still facing the painting after the rotation. So, after the rotation, the painting is directly in front of you. This is because your orientation remained unchanged while the room underwent the transformation.</t>
  </si>
  <si>
    <t>To determine which object is now in front of you after the room's rotation, we need to consider the initial position and the changes in orientation caused by the rotation. Initially, you were facing the north wall's painting. After the 90-degree clockwise rotation, the entire room changed orientation as if the room was on a pivot, while you remained stationary. In this case, the 'north' direction will now become 'east', the 'east' will be 'south', the 'south' will be 'west', and the 'west' will remain 'west'. Since you did not rotate with the room, you are still facing the same direction relative to the new room layout. Therefore, the painting that used to be on the north wall is now on the east wall, which means it is directly in front of you after the room's rotation. So, the object in front of you is the painting.</t>
  </si>
  <si>
    <t>First, let's analyze the situation when the room is initially rotated. You are standing in the center facing north, so the painting is right in front of you. Since the room rotates 90 degrees clockwise, all the walls and objects will shift accordingly. The north wall with the painting becomes the new east wall, which also means that the painting is now on the new south wall since paintings always stay fixed on their original walls. You remain in the same physical orientation, and because you did not change position during the rotation, you are still in the center and facing the same direction - north. Considering these changes, after the rotation, the object that is now directly in front of you would be the painting, as it was originally situated on the north wall and remained in place while the rest of the room shifted. You haven't moved, and the painting hasn't either, so it is still in the direct line of sight from your current perspective.</t>
  </si>
  <si>
    <t>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t>
  </si>
  <si>
    <t>The green box</t>
  </si>
  <si>
    <t>14z</t>
  </si>
  <si>
    <t>From the new position, the green box will be on your left since it was initially on the right side when facing the boxes before. The red box becomes the middle one, and the blue box is on the right.</t>
  </si>
  <si>
    <t>From your new position, the box on your left will be the green box, as it was initially on the right side when facing the boxes before turning around. The blue box remains in the middle, and the red box is still on the left. So, the order from left to right is red, blue, and green.</t>
  </si>
  <si>
    <t>In your new position, the green box will be on your left as it was previously on the right side. The other two boxes, red and blue, remain unchanged in their positions relative to each other when you face the boxes from a different angle.</t>
  </si>
  <si>
    <t>From the initial perspective, the green box was on the right and the blue box in the middle. Since you change position, the box that was previously on the right (green) will now be on your left. So the answer is green.</t>
  </si>
  <si>
    <t>From the new position, the box on your left will be the green one.</t>
  </si>
  <si>
    <t>14c</t>
  </si>
  <si>
    <t>From the initial position, you know that the order of the boxes is: red, blue, and green, going from left to right. When you change your viewpoint to face the boxes from the opposite side, the boxes still maintain their original order. Therefore, the box that will be on your left should still be the red box, as it was the closest to your initial left side. So, from this new perspective, the red box remains on the left, while the other two boxes, blue and green, have switched positions, with green being in the middle and blue on the right.
Answer: Red</t>
  </si>
  <si>
    <t xml:space="preserve"> When we consider the rearrangement of our perspective and the fact that the order of the boxes stays the same, we can infer that the positions of the boxes relative to us have changed. The red box, initially on our left, has now become the farthest box from us on the right-hand side as we see them from the opposite direction. Therefore, the box on the left is the green one, which initially was on the right-hand side when we faced the boxes directly. Our reasoning revolves around maintaining the relative positions of the boxes despite the change in our viewpoint, not considering their specific colors.</t>
  </si>
  <si>
    <t xml:space="preserve"> Reasoning: When we changed our perspective and turned around, the positions of the boxes relative to us also changed. The red box, initially on the left, would now be on the right side as we faced the same line but in the opposite direction. Similarly, the blue box, previously in the middle, is now the leftmost box in the new line, while the green box remains in its original position on the right. So, considering the new arrangement, the box that is now on my left is the red box. Answer: Red box.</t>
  </si>
  <si>
    <t>Let's analyze the situation step by step. Initially, we know that the red box is on the left, blue in the middle, and green on the right while facing the boxes directly. When changing our perspective by walking around the back and facing them from the opposite side, their positions relative to the viewer would change accordingly. Since the order remains the same within the boxes (red-blue-green), it can be inferred that the red box, being the farthest from the point of view of the initial positioning, will now be the closest one when viewing the box lineup from the backside. Consequently, the red box will be on the left side as seen from this new perspective. So, the answer is the red box.</t>
  </si>
  <si>
    <t>From the initial perspective, we know that the red box is on the left, the blue box is in the middle, and the green box is on the right. When you change your viewpoint and face the boxes from the other side, you're essentially looking at the same room from the other end. Since the boxes are still in a straight line with no changes made, the order stays the same, but the viewpoint has changed. The red box would still be on your left as it is closest to you. So, the red box remains on your left from both perspectives, even though your starting position was different.</t>
  </si>
  <si>
    <t>15z</t>
  </si>
  <si>
    <t>15c</t>
  </si>
  <si>
    <t>16z</t>
  </si>
  <si>
    <t>16c</t>
  </si>
  <si>
    <t>17z</t>
  </si>
  <si>
    <t>17c</t>
  </si>
  <si>
    <t>18z</t>
  </si>
  <si>
    <t>18c</t>
  </si>
  <si>
    <t>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t>
  </si>
  <si>
    <t>Find Key, Unlock Door, Read Note, Press Button</t>
  </si>
  <si>
    <t>Sequencing</t>
  </si>
  <si>
    <t>Medium</t>
  </si>
  <si>
    <t>The correct order of tasks is: Find Key, Unlock Door, Read Note, and Press Button. You cannot skip any step, as mentioned in the clues.</t>
  </si>
  <si>
    <t>Find Key, Unlock Door, Read Note, and Press Button. Each task has a prerequisite that needs to be completed in order to proceed to the next one.</t>
  </si>
  <si>
    <t xml:space="preserve"> The correct order of tasks is: Find Key, Unlock Door, Read Note, and Press Button. Each task must be completed sequentially without skipping any.</t>
  </si>
  <si>
    <t>The correct order of tasks is: Find Key, Unlock Door, Read Note, and Press Button. You cannot skip any step as mentioned in the clues.</t>
  </si>
  <si>
    <t>The correct order of tasks is Find Key, Unlock Door, Read Note, and Press Button. It's essential to follow the sequence since you can't skip any step.</t>
  </si>
  <si>
    <t>To determine the correct order, we need to understand the logical dependencies between these steps. Let's analyze them one by one.
1. Find Key - This means that to be able to unlock the door, we need to locate the required key.
2. Unlock Door - Once we have the key, we can use it to unlock the door.
3. Read Note - After unlocking the door, there should be a note inside the room. Reading it would be the next task.
4. Press Button - The note likely mentions a specific button to press for the next step. We can assume pressing the button leads us to the following task.
By examining these clues, we notice the order in which actions are reliant on each other. The first task requires finding the key, the second unlocking the door, the third reading the note, and the fourth pressing the button. Since we cannot skip any step, the overall process becomes 'Find Key, Unlock Door, Read Note, and Press Button'. The reasoning behind this order comes from the importance of completing the previous task before moving on to the next.</t>
  </si>
  <si>
    <t>Easy</t>
  </si>
  <si>
    <t>To solve this puzzle, let's analyze the clues step by step. We're given a list of tasks that we need to complete in the right order. Each task requires specific actions depending on the previous task's completion. The clues clearly state the dependencies between these tasks. To start, we must find the key because it is needed for the next task – unlocking the door. After unlocking the door, we can proceed with reading the note, as it depends on the door being unlocked. Finally, we have to read the note before pressing the button. In conclusion, the correct order of tasks is: Find Key, Unlock Door, Read Note, and Press Button. The reasoning behind this order comes from understanding the dependencies mentioned in the given clues and ensuring that every step is followed in its proper sequence without skipping any.</t>
  </si>
  <si>
    <t xml:space="preserve"> Firstly, let's analyze the clues given. They tell us that there are specific steps needed to complete these tasks, and we can only proceed to the next task after completing the previous one. This means we must follow a sequence.
Now, looking at the list of tasks again: Find Key, Unlock Door, Read Note, and Press Button. We can identify that the sequence should be based on the clues we received.
1. Find Key - It says we need the key before unlocking the door, so it's essential for us to find the key first.
2. Unlock Door - After finding the key, we can use it to unlock the door, which brings us closer to accomplishing our overall goal.
3. Read Note - With the door now unlocked, we can access and read the note.
4. Press Button - Once the note has been read, the final step is to press the button according to the information provided in the note.
In conclusion, the correct order of tasks following the given clues is Find Key, Unlock Door, Read Note, and Press Button. The reasoning behind this order is based on understanding and respecting the provided guidelines and the logical sequence that leads us to achieving each subsequent task effectively.</t>
  </si>
  <si>
    <t>To start, we need to understand that all tasks are interconnected and have their specific importance. Task one, finding the key, is necessary for task two which is unlocking the door. Task two, unlocking the door, leads us to task three where we read the note. Lastly, reading the note prepares us for task four which is pressing the button. Since there's a direct flow from one task to another, we cannot skip or change the sequence. So, the correct order of tasks is Find Key, Unlock Door, Read Note, and Press Button, considering the connections among them and adhering to the given clues.</t>
  </si>
  <si>
    <t>The correct order of tasks is Find Key, Unlock Door, Read Note, and Press Button. The reason for this order is that it follows the given clues which state that each task has a necessary prerequisite to move on to the next one. The key must be found to unlock the door, the door must be unlocked to read the note, and the note must be read before pressing the button. This sequential process ensures a logical progression in completing the tasks and respecting the given constraints.</t>
  </si>
  <si>
    <t>The correct order of tasks is as follows: Find Key, Press Button, Unlock Door, and Read Note. The reasoning behind this sequence is that every task has a specific dependency on one or more previous actions. To find the key, we need to solve the puzzle, so it's the starting point. To press the button, we should know what the instruction is which will be stated in the read note. Therefore, we need to read the note first, unlock the door, and uncover the note. Finally, we unlock the door and access the note for further guidance. This ensures a smooth flow and completion of all tasks in a logical manner without missing any necessary steps.</t>
  </si>
  <si>
    <t>The correct order of tasks is finding the key, pressing the button, unlocking the door, and reading the note. The reasoning behind this order is that each task depends on the previous one being completed. Finding the key is required for unlocking the door, unlocking the door is necessary for reading the note, and reading the note allows you to press the button. It's important to follow these steps in a specific sequence to ensure a smooth progression towards completing all tasks.</t>
  </si>
  <si>
    <t>The correct order of tasks will be: Find Key, Press Button, Unlock Door, and Read Note.
First, we need to find the reason behind the order given in the clues. Finding the key is essential because it's the first step towards opening the door. Then, pressing the button will likely lead to unlocking the door or provide a code to unlock it. After that, unlocking the door is necessary since it grants access to the room where the note is located. Finally, reading the note reveals any additional information needed for the next action, which is pressing the button. This sequence ensures that each task logically follows from the one prior and no task can be executed without its prerequisite being met.</t>
  </si>
  <si>
    <t>The correct order of tasks is: Find Key, Press Button, Unlock Door, and Read Note. This is because you need to progress through the tasks in a linear manner, completing one task before moving on to the next. The keys are essential for unlocking the door, the door is necessary for accessing the note, and the note will provide information required to push the button.</t>
  </si>
  <si>
    <t>The correct order of tasks is as follows: Find Key, Press Button, Unlock Door, and Read Note. My reasoning for this order is that each task has a clear dependency on the one before it. For example, without finding the key, we cannot unlock the door, and so on. Since all steps are necessary, we must complete them in their designated order. We also can't skip any step, as mentioned in the clues.</t>
  </si>
  <si>
    <t>The correct order of tasks is: Find Key, Press Button, Unlock Door, and Read Note. These tasks need to be completed in sequence without missing any step.</t>
  </si>
  <si>
    <t>The correct order of tasks is: Find Key, Press Button, Unlock Door, and Read Note.</t>
  </si>
  <si>
    <t>The correct order of tasks is: Find Key, Press Button, Unlock Door, and Read Note. You cannot skip any step. So, firstly, find the key, then press the button, then unlock the door, and finally, read the note.</t>
  </si>
  <si>
    <t>The correct order of tasks is Find Key, Press Button, Unlock Door, and Read Note. However, it's important to note that the order cannot be altered as each task leads to the next one.</t>
  </si>
  <si>
    <t>The correct order of tasks is: Find Key, Press Button, Unlock Door, and Read Note. Remember that these tasks can't be skipped or done out of order.</t>
  </si>
  <si>
    <t>There are three switches: A, B, and C that must be flipped in a specific order to open a trapdoor.
Clues:
Switch C must be flipped before switch B.
Switch A must be flipped before switch B.
Switch C is not the first switch.
What is the order in which the switches must be flipped?</t>
  </si>
  <si>
    <t>A, C, B</t>
  </si>
  <si>
    <t>The order in which the switches must be flipped is: A, C, B.</t>
  </si>
  <si>
    <t xml:space="preserve"> The correct order to flip the switches is A, C, and then B. This is because they need to follow the given rules while also maintaining the order. Since C comes after B but before A, it can't be the first one. Thus, A must come first followed by C, making B the last one to flip in the sequence to meet all conditions.</t>
  </si>
  <si>
    <t>The correct order to flip the switches is: A, C, B. This order follows the given clues as it ensures A is flipped before B, C is flipped before B, and A is not the last one (C and B have higher priorities).</t>
  </si>
  <si>
    <t>The order in which the switches must be flipped is: A, C, B. This sequence follows the given clues that Switch A should be flipped before B, and Switch C should come before B as well. However, it's mentioned that Switch C is not the first one, so we need to consider Switch A before C.</t>
  </si>
  <si>
    <t>To solve this puzzle, we will analyze the given clues step by step and find the common points.
1. We know Switch C must be flipped before Switch B. This means it cannot be the last switch to be flipped.
2. We also have that Switch A must be flipped before Switch B. This means it should come earlier than both Switch B and Switch C.
3. Finally, the only constraint we have is that Switch C is not the first one to be flipped.
Now let's consider all these points together. We can see that Switch A should be the initial switch. Since Switch A has to be flipped before both Switch B and Switch C, and Switch C has to be flipped before Switch B, we can safely arrange the order as follows: A, C, B. The reasoning behind this sequence is based on the given information and ensuring that the correct switches are activated in the right order without violating any rules or constraints provided.</t>
  </si>
  <si>
    <t>First, let's analyze the given information step by step. We have three switches (A, B, and C) and a specific order of flipping them to open a trapdoor.
1. Switch C must be flipped before switch B.
2. Switch A must be flipped before switch B.
3. Switch C is not the first switch.
From the second clue, we can infer that both A and B should be flipped before B, making it clear that A has to be the first one to be switched. Thus, this eliminates the possibility of the order being A, B, C, as it contradicts the second clue.
Now, looking at the third clue, we know that C cannot be the first switch. However, we do not know its exact position. It can be after A or after B, or even in between. For argument's sake, let's assume that C comes after A, which makes the order A, C, B. This is because it follows the first two clues and ensures that the required steps for the order of C before B and A before B are maintained.
Please note that there might be other possible orders if we consider different assumptions for the position of C. But based on the given information, the most likely order seems to be A, C, B.
The order in which the switches must be flipped: A, C, B.</t>
  </si>
  <si>
    <t>To solve this puzzle, we can analyze the given clues one by one while keeping in mind the ultimate goal of opening the trapdoor. The goal is achieved when all switches are in their proper positions. Let's break down the clues:
1. Switch C must be flipped before switch B - This suggests that Switch C should be flipped before any interactions with Switch B.
2. Switch A must be flipped before switch B - Similar to Clue 1, Switch A should also be flipped before any action on Switch B.
3. Switch C is not the first switch - We know that Switch C cannot be the first one that needs to be flipped, considering the order it must follow for Switch B.
Now, let's consider the given order: A, B, C. Following the clues, we'll make modifications to this sequence. First, we can exclude both Switch A and C from being the starting points since they must be flipped before Switch B. The only switch left as a potential starting point is Switch B. But, we know that Switch B cannot be the first one according to the third clue.
Considering these factors, the order in which the switches must be flipped appears to be: B, A, C, following the sequence of flipping each switch in relation to their positions regarding Switch B. This order ensures that every switch is manipulated according to the provided clues while ultimately resulting in the trapdoor being opened.</t>
  </si>
  <si>
    <t>The key clues provided tell us several significant things:
1. Switch C must be flipped before Switch B, which means they are not in direct sequence.
2. Switch A must be flipped before Switch B, which also establishes that Switch A comes before Switch B.
3. Switch C is not the first switch, meaning it has to follow another switch other than A or B to get activated.
Now, we know that Switch A is needed before both B and C, but it can't be the only switch it comes before. So, let's examine Switch C's scenario further. Since Switch C can't be the first switch, there has to be a switch between A and C. However, we already know Switch A must come before Switch B. Therefore, Switch C must be between A and B, making it the second switch to be flipped after A, followed by B.
Hence, the order in which the switches must be flipped is: A, C, B. This sequence considers all given clues and follows their logical connections.</t>
  </si>
  <si>
    <t xml:space="preserve"> To solve this puzzle, let's analyze the given clues step by step. We know Switch C must be flipped before Switch B. We also know Switch A must be flipped before Switch B. From the third clue, we understand Switch C is not the first one. With this information, we can deduce the following order: Since Switch A is before Switch B and both are before Switch C, the only place left for Switch A is right after Switch C. The final order in which the switches must be flipped is: C, A, B. This arrangement respects all the clues and follows a logical progression.</t>
  </si>
  <si>
    <t>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t>
  </si>
  <si>
    <t>Hard</t>
  </si>
  <si>
    <t>Red, Green, Blue, Yellow</t>
  </si>
  <si>
    <t>19z</t>
  </si>
  <si>
    <t>19c</t>
  </si>
  <si>
    <t>The correct order of codes is: Red, Blue, Green, and Yellow.</t>
  </si>
  <si>
    <t>The correct order of codes is: Red, Blue, Green, Yellow.</t>
  </si>
  <si>
    <t>The correct order of codes is Red, Blue, Green, and Yellow.</t>
  </si>
  <si>
    <t>First, we know that "Red is entered before both Green and Yellow." This means Red can't be the last two positions. The next clue is "Blue is not entered first." So Blue should go somewhere other than the initial position. We can see that "Yellow is entered after Green." Combining these two clues, we deduce that Yellow comes after Blue. The final clue states "Blue is entered immediately before Yellow." Since Blue cannot be the first, it must come before Yellow, which has already been placed after Red and before Green. Therefore, the correct order of codes is: Red, Blue, Green, Yellow. The reasoning is based on placing each code in the right sequence according to the given relationships among them.</t>
  </si>
  <si>
    <t>First, we have to identify the relationships between the colors mentioned in the clues. Let's start with the positioning relative to each other. We know that "Red is entered before both Green and Yellow." This means that Red comes right before Green but also comes before Yellow. So it's in between Green and Yellow.
Next, "Blue is not entered first." Comparing this information with the previous point, since Red is entered first (before Green), Blue can't be the first as well.
"Yellow is entered after Green." This implies that Green comes before Yellow, so Green should be next in line after Red. We can infer this from our earlier analysis where Red is in between Green and Yellow.
Lastly, "Blue is entered immediately before Yellow." This states that Blue comes just before Yellow. Since Yellow is entered after Green, and Green is entered after Red, Blue should come directly before Yellow.
Now let's combine these pieces of information to create the correct order: Red, Green, Blue, Yellow. We placed Red first because it is entered before all others. Then we added Green, which is right after Red and before Blue. Next, we put Blue in the sequence as it follows Red and comes directly before Yellow. Lastly, we included Yellow, considering that it is entered after Green. This completes the four-code sequence in the correct order.</t>
  </si>
  <si>
    <t>To solve this puzzle step by step, we will analyze the given clues and relate them to the possible orders of the colors.
1. Red is entered before both Green and Yellow. This means that Red cannot be the last color since it comes before Green and Yellow. So, the possible orders include Red, followed by either Green or Yellow (not both).
2. Blue is not entered first. Since Blue can't be the first one, we know for certain that it can't be the initial color. Thus, it must come after the first color (which has to be Red) and before Green and Yellow, as stated in the third clue.
3. Yellow is entered after Green. This implies that Yellow should come at the end since it follows Green.
4. Blue is entered immediately before Yellow. This confirms the previous understanding, as it establishes that Blue goes before Yellow.
Considering these clues, the most logical order would be: Red, Blue, Green, and Yellow. The reasoning is based on the connections made between the colors using the given information, making sure each color fits logically in its position according to the clues provided.</t>
  </si>
  <si>
    <t>First, let's look at the relationships between the colors mentioned in the clues. We have:
1. Red is before both Green and Yellow, so it can be considered as a starting point or a base color.
2. Blue is not entered first, so we know it is after Red but before Green and Yellow, which means it comes either right after Red or right before Green or right before Yellow.
3. Yellow is entered after Green and also right before Yellow, according to the given clues.
Now, let's analyze these pieces of information and create a possible sequence. Since Blue is mentioned separately from Green and Yellow, we can assume it has a unique position in the sequence. Let's put Red as the starting point, followed by Blue. This satisfies all constraints up to now. Next, we need to place Yellow and Green. We know that Yellow comes after Green and Green is before Yellow. So, we can safely place Green between Red and Blue and Yellow directly before Green, making the final sequence: Red, Blue, Green, Yellow. This arrangement fulfills all the given clues.</t>
  </si>
  <si>
    <t>To solve this puzzle, let's analyze the given clues one by one and establish the relationships between the colors:
1. Red is entered before both Green and Yellow. This means that if we have a sequence with Red, it should come before Green and Yellow.
2. Blue is not entered first. We know that Blue doesn't come first, but since it's mentioned later in the sequence, we can assume that at least one other color comes before it.
3. Yellow is entered after Green. This implies that Yellow should follow Green in the sequence.
4. Blue is entered immediately before Yellow. Since we already understand the relationship between Blue and Yellow from clue 4, and Blue coming before Yellow, we can infer that there's a third color between Green and Blue that precedes Blue.
Putting it all together, we can create a potential sequence starting with any code that comes before Red, followed by Red, then Green, and after that comes Yellow which is before Blue. In summary, the correct order of codes could be either (CodeA, Red, CodeB, Green, Yellow, Blue) or (CodeA, Red, CodeC, Green, Yellow, Blue). However, we don't have enough information to determine the exact codes (CodeA, B, or C) to complete the sequence.</t>
  </si>
  <si>
    <t>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t>
  </si>
  <si>
    <t xml:space="preserve">Anna, Cara, Drew, Ben. </t>
  </si>
  <si>
    <t>The seating order from left to right is: Anna, Drew, Cara, and Ben.</t>
  </si>
  <si>
    <t>To solve this puzzle, we will use the given clues step by step.
1. Anna sits somewhere to the left of Ben.
2. Cara does not sit on an end seat.
3. Drew sits immediately to the right of Cara.
4. Ben does not sit in seat 2.
5. Anna does not sit in seat 3.
Now let's arrange the seating using these clues.
1. Anna cannot be in seat 2 or 3 as they are already taken by others. So, she can only be in seat 1 or 4. Let's analyze other options.
2. Since Anna sits to the left of Ben, Ben must be in seat 2 or 3, not 1 or 4. So, let's analyze his position further.
   - If Ben is in seat 2, then it contradicts clue 4 (Ben doesn't sit in seat 2). So, Ben cannot be in seat 2.
   - If Ben is in seat 3, then Drew has to be in seat 4, which would also require Cara to be in seat 1 (since she can't sit in an end spot), contradicting clue 2. Thus, Ben can't be in seat 3 either.
3. Considering all the possible combinations, it seems that it's impossible to arrange the seating with the given clues. There might be missing information or incorrect clues provided.</t>
  </si>
  <si>
    <t>The seating order is: Anna, Drew, Cara, Ben.</t>
  </si>
  <si>
    <t>Ben, Anna, Drew, Cara.</t>
  </si>
  <si>
    <t>The seating order is: Anna, Ben, Cara, Drew.</t>
  </si>
  <si>
    <t>Firstly, we need to understand the given information and deduce relationships among these people based on their positions on the bench. As per the clues, we have some restrictions.
1. Anna sits to the left of Ben - This means Anna can't be in seat 1 (leftmost) or seat 2 (immediately to Ben's left).
2. Cara doesn't sit on an end seat - This eliminates the possibility of Cara sitting in seats 1 or 4 (end spots).
3. Drew sits to the right of Cara - Drew has no restrictions on where she can sit, but must be seated next to Cara.
4. Ben does not sit in seat 2 - This rules out Ben from occupying that specific spot.
5. Anna does not sit in seat 3 - This further restricts Anna's positioning.
Now, let's try to fill the seats step by step.
1. Seat 1 can't have either Anna or Ben as they both sit left of them. So, we are left with Drew or Cara. Since Drew must sit right to Cara, let's place Drew in seat 1.
2. We know that Anna sits somewhere to the left of Ben, so now there are three possibilities for her location: Seat 2 (left to Ben), Seat 3 (Ben's position), and Seat 4 (not right to Ben). Since we already ruled out seat 2, we can't place Anna in that. And if we place her in Seat 3, Ben would be in Seat 2, which contradicts the given information. So, the only available option is Anna in Seat 4.
3. Now, we are left with Ben and Cara. As per the clues, Ben can't sit in seat 2, which implies he might have to sit in seat 1. However, that means he would be sitting next to Drew, which contradicts another rule stating that no two people can share a seat. Therefore, Ben must sit in seat 3, leaving Cara in seat 1.
4. The final seating order from left to right will be Drew, Cara, Ben, and Anna.</t>
  </si>
  <si>
    <t>To solve this puzzle, we have to analyze the given clues step by step and place the people according to their relative positions. Let's first list all the clues:
1. Anna sits somewhere to the left of Ben.
2. Cara does not sit on an end seat.
3. Drew sits immediately to the right of Cara.
4. Ben does not sit in seat 2.
5. Anna does not sit in seat 3.
Step 1: We know that both Anna and Ben are not in seats 2 and 3, respectively. So, we can eliminate those two spots for these two people. Now there are just two people who can possibly sit in the remaining two spots - one on left and other on the right.
Step 2: Considering the position of Cara and Drew, they must occupy the spots next to each other. Since we only have two remaining spots, it is logical to place them in those two spots.
Step 3: Ben cannot be in seat 2, which means he has to be in the remaining spot on the right side of the bench, where we assumed the second person would be. In our case, that should be Drew.
Step 4: Finally, consider Anna's seating position. We know that she is to the left of Ben. Since Ben is now in the third spot from left (Drew being at the fourth spot), Anna must be placed in the second spot from left.
So, the final seating order from left to right is: Anna, Drew, Ben, and Cara. The reasoning was based on understanding and applying the given clues logically while eliminating irrelevant or contradictory options as we progressed through the puzzle.</t>
  </si>
  <si>
    <t>Firstly, let's analyze the clues one by one. Clue 1 states that Anna sits to the left of Ben, but it doesn't say where Ben sits. Clue 2 tells us that Cara is not on an end seat, so she cannot be on either 1 or 4. Clue 3 states that Drew sits to the right of Cara, who we know will be on a seat other than 1, so she must be on seat 2. Clue 4 specifies that Ben does not sit in seat 2, so Ben will occupy seat 1, making him the person at the extreme left. Clue 5 confirms that Anna does not sit in seat 3, which rules out both seats 2 and 3 for her. Since Cara cannot be on end seats, that leaves us with seats 1, 2, and 4 available for her. If we analyze these last three possible positions for Cara, we find that putting her on seat 1 would create a problem as it would lead to a direct conflict with the statement about Drew sitting to the right of someone. Putting her on seat 4 would also create an issue as it contradicts the information that Cara is not on an end seat. This leaves us with seat 2, where there's no other people occupying it. So finally, the seating order from left to right is Ben (1), Anna (3), Drew (2), and Cara (4). The reasoning process was based on addressing each clue individually while avoiding contradictions in the given context.</t>
  </si>
  <si>
    <t>First, let's analyze the given information step by step:
1. Anna sits to the left of Ben: We know that Anna is not on the same seat as Ben or on seat 1. So she could be on either seat 2 or 3, but not on seat 1 or 4.
2. Cara doesn't sit on an end seat: This implies that Cara cannot be in seat 1 or 4. So Cara has to be in seat 2 or 3.
3. Drew sits next to Cara: Since Drew sits on the right side of Cara, it means he must be in seat 3 or 4. Considering he is not in seat 2 (since Ben isn't), we have Drew sitting in seat 4.
4. Ben doesn't sit in seat 2: With this clue, we already know that Ben is in one of the remaining seats (1, 3, or 4).
5. Anna doesn't sit in seat 3: This removes seat 3 as a potential seat for Anna.
6. Lastly, since Ben is not in seat 1 (as it is occupied by Anna or someone else) and not in seat 2 (per earlier clue), we can infer that he sits in seat 1, as there are no other options left.
Now let's put together the final seating order: Anna (1), Ben (2), Drew (4), and Cara (3). This arrangement follows all given constraints while making sure no two people share a seat.</t>
  </si>
  <si>
    <t>Step 1: We know that Anna sits to the left of Ben which means Ben will be sitting at least in one of the spots to the right of Anna (since there are no two people sharing a seat). Since Anna doesn't sit in spot 3, that leaves spot 1 for her. So, Anna is in seat 1.
Step 2: Drew is sitting immediately to the right of Cara, who is not on an end seat, which means she is on either spot 2 or 4. Let's consider spot 2: if Cara was sitting there, Ben would have to be in seat 3 since he cannot be in seat 2 and Anna cannot be in seat 1 or 3. This would make it impossible for Drew to sit next to Cara, as they must be seated in spots 3 and 4 respectively. Therefore, we can eliminate option of Cara being in seat 2.
Now let's consider spot 4: If Cara is in spot 4, then Drew is sitting in spot 5, making it impossible for him to sit next to Cara, as we already know that they are to be seated in spots 3 and 4 respectively. So, we can also eliminate the possibility of Cara being in spot 4.
Since we have established that she cannot be in spots 2 or 4, Cara must be in spot 1 (which was occupied by Anna initially) or seat 3. However, both these options are not possible because Anna is already in seat 1 and cannot be in seat 3, as mentioned in the clue 'Anna does not sit in seat 3'. This implies that the configuration of Cara, Drew, Ben and Anna is now complete, with Cara occupying the seat in between Drew and Ben.
Now, knowing where Anna, Drew, Cara, and Ben are seated, it's clear that the seating order from left to right will be: Anna, Drew, Cara, and Ben.</t>
  </si>
  <si>
    <t>20z</t>
  </si>
  <si>
    <t>20c</t>
  </si>
  <si>
    <t>21z</t>
  </si>
  <si>
    <t>21c</t>
  </si>
  <si>
    <t>22z</t>
  </si>
  <si>
    <t>22c</t>
  </si>
  <si>
    <t>23z</t>
  </si>
  <si>
    <t>23c</t>
  </si>
  <si>
    <t>24z</t>
  </si>
  <si>
    <t>24c</t>
  </si>
  <si>
    <t>25z</t>
  </si>
  <si>
    <t>25c</t>
  </si>
  <si>
    <t>26z</t>
  </si>
  <si>
    <t>26c</t>
  </si>
  <si>
    <t>27z</t>
  </si>
  <si>
    <t>27c</t>
  </si>
  <si>
    <t>28z</t>
  </si>
  <si>
    <t>28c</t>
  </si>
  <si>
    <t>29z</t>
  </si>
  <si>
    <t>29c</t>
  </si>
  <si>
    <t>30z</t>
  </si>
  <si>
    <t>30c</t>
  </si>
  <si>
    <t>spatial</t>
  </si>
  <si>
    <t>riddle</t>
  </si>
  <si>
    <t>z</t>
  </si>
  <si>
    <t>c</t>
  </si>
  <si>
    <t>inference time</t>
  </si>
  <si>
    <t>tokens</t>
  </si>
  <si>
    <t>Three treasure chests sit on a table: Bronze, Silver, and Gold. Only one contains the real treasure. A note reads: “The treasure is not in the heaviest chest.” “The Silver chest is lighter than the Bronze chest.” “The Gold chest is neither the heaviest nor the lightest.” Question: Which chest cannot contain the treasure?</t>
  </si>
  <si>
    <t>Bronze chest</t>
  </si>
  <si>
    <t>Four people — Ava, Ben, Cara, and Devin — are waiting in a line. Clues: Ava is somewhere in front of Ben. Devin is not first. Cara is directly behind Ava. Who is standing in front of Devin?</t>
  </si>
  <si>
    <t>Ava</t>
  </si>
  <si>
    <t>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t>
  </si>
  <si>
    <t>South</t>
  </si>
  <si>
    <t>A locked box can only be opened with one of three colored keys: Red, Green, or Purple. A note provides clues: “The correct key is neither the lightest nor the darkest color.” “Red is darker than Green.” “Purple is darker than Red.” Which key opens the box?</t>
  </si>
  <si>
    <t>Red</t>
  </si>
  <si>
    <t>You find three switches labeled 1, 2, and 3. Only one opens the final door. A message reads: “Switch 1 works only if Switch 3 does not.” “Exactly one switch is functional.” “Switch 2 is not the correct one.” Which switch opens the door?</t>
  </si>
  <si>
    <t>switch 1</t>
  </si>
  <si>
    <t>Three books — A, B, and C — are stacked on a shelf. Clues: Book A is not on the top. Book C is not on the bottom. Book B is not directly next to C. What is the order from top to bottom?</t>
  </si>
  <si>
    <t>C,A,B</t>
  </si>
  <si>
    <t>A hexagonal room has six statues placed evenly around the perimeter. They are labeled 1 through 6 in clockwise order, starting from the top (statue 1 is at the “North” position). A note gives clues: Statue 4 is directly opposite Statue 1. The hidden lever is two positions clockwise from Statue 6. Statue 3 is directly to the left of Statue 2 (based on facing inward). Which statue has the hidden lever?</t>
  </si>
  <si>
    <t>Statue 2</t>
  </si>
  <si>
    <t>Three animals — Cat, Dog, and Bird — live in three houses: Red, Green, and Blue. The houses are arranged in a straight line from left to right in the order: Red House → Green House → Blue House. Clues: The Cat does not live in the Red House. The Dog lives next to the Cat. The Bird does not live in the Green House. The Cat lives between the Dog and the Bird. Where does the Cat live?</t>
  </si>
  <si>
    <t>Green</t>
  </si>
  <si>
    <t>Solve this riddle: “I am the door that always opens but never closes. I point you forward but move you back. I am seen before arrival and after departure.” Which door am I? Options: A. Exit Door B. Glass Door C. Labra Door D. Submarine Door</t>
  </si>
  <si>
    <t>Exit Door</t>
  </si>
  <si>
    <t>Deduction</t>
  </si>
  <si>
    <t>You are given three keys labeled 5, 10, and 15. Only one key opens the lock. A note reads: “The correct key is divisible by 5.” “The correct key is not the smallest number.” “The correct key is not the largest number.” Which key opens the lock?</t>
  </si>
  <si>
    <t>You have to complete four tasks: Find Key, Press Button, Unlock Door, and Read Note.
Clues:
You must find the key before you can unlock the door.
You must unlock the door before you can read the note.
You must read the note before you press the button.
You cannot skip any step.
What is the correct order of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</si>
</sst>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9"/>
      <color indexed="81"/>
      <name val="Tahoma"/>
      <family val="2"/>
    </font>
    <font>
      <b/>
      <sz val="9"/>
      <color indexed="81"/>
      <name val="Tahoma"/>
      <family val="2"/>
    </font>
  </fonts>
  <fills count="2">
    <fill>
      <patternFill patternType="none"/>
    </fill>
    <fill>
      <patternFill patternType="gray125"/>
    </fill>
  </fills>
  <borders count="10">
    <border>
      <left/>
      <right/>
      <top/>
      <bottom/>
      <diagonal/>
    </border>
    <border>
      <left style="double">
        <color auto="1"/>
      </left>
      <right/>
      <top/>
      <bottom/>
      <diagonal/>
    </border>
    <border>
      <left/>
      <right/>
      <top/>
      <bottom style="thin">
        <color indexed="64"/>
      </bottom>
      <diagonal/>
    </border>
    <border>
      <left style="double">
        <color auto="1"/>
      </left>
      <right/>
      <top/>
      <bottom style="thin">
        <color indexed="64"/>
      </bottom>
      <diagonal/>
    </border>
    <border>
      <left/>
      <right/>
      <top style="thin">
        <color indexed="64"/>
      </top>
      <bottom style="thin">
        <color indexed="64"/>
      </bottom>
      <diagonal/>
    </border>
    <border>
      <left style="double">
        <color auto="1"/>
      </left>
      <right/>
      <top style="thin">
        <color indexed="64"/>
      </top>
      <bottom style="thin">
        <color indexed="64"/>
      </bottom>
      <diagonal/>
    </border>
    <border>
      <left/>
      <right style="double">
        <color auto="1"/>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2" xfId="0" applyBorder="1"/>
    <xf numFmtId="0" fontId="0" fillId="0" borderId="4" xfId="0" applyBorder="1"/>
    <xf numFmtId="0" fontId="0" fillId="0" borderId="5" xfId="0" applyBorder="1"/>
    <xf numFmtId="0" fontId="0" fillId="0" borderId="0" xfId="0" applyAlignment="1">
      <alignment wrapText="1"/>
    </xf>
    <xf numFmtId="0" fontId="0" fillId="0" borderId="2" xfId="0" applyBorder="1" applyAlignment="1">
      <alignment wrapText="1"/>
    </xf>
    <xf numFmtId="0" fontId="0" fillId="0" borderId="4" xfId="0" applyBorder="1" applyAlignment="1">
      <alignment wrapText="1"/>
    </xf>
    <xf numFmtId="0" fontId="0" fillId="0" borderId="3" xfId="0" applyBorder="1"/>
    <xf numFmtId="0" fontId="0" fillId="0" borderId="0" xfId="0">
      <extLst>
        <ext xmlns:xfpb="http://schemas.microsoft.com/office/spreadsheetml/2022/featurepropertybag" uri="{C7286773-470A-42A8-94C5-96B5CB345126}">
          <xfpb:xfComplement i="0"/>
        </ext>
      </extLst>
    </xf>
    <xf numFmtId="0" fontId="0" fillId="0" borderId="2" xfId="0" applyBorder="1">
      <extLst>
        <ext xmlns:xfpb="http://schemas.microsoft.com/office/spreadsheetml/2022/featurepropertybag" uri="{C7286773-470A-42A8-94C5-96B5CB345126}">
          <xfpb:xfComplement i="0"/>
        </ext>
      </extLst>
    </xf>
    <xf numFmtId="0" fontId="0" fillId="0" borderId="8" xfId="0" applyBorder="1"/>
    <xf numFmtId="0" fontId="0" fillId="0" borderId="9" xfId="0" applyBorder="1"/>
    <xf numFmtId="0" fontId="0" fillId="0" borderId="7" xfId="0" applyBorder="1"/>
    <xf numFmtId="0" fontId="0" fillId="0" borderId="5"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3" xfId="0" applyBorder="1" applyAlignment="1">
      <alignment horizontal="center"/>
    </xf>
    <xf numFmtId="0" fontId="0" fillId="0" borderId="2" xfId="0" applyBorder="1" applyAlignment="1">
      <alignment horizontal="center"/>
    </xf>
    <xf numFmtId="0" fontId="0" fillId="0" borderId="6" xfId="0" applyBorder="1" applyAlignment="1">
      <alignment horizontal="center"/>
    </xf>
  </cellXfs>
  <cellStyles count="1">
    <cellStyle name="Normal" xfId="0" builtinId="0"/>
  </cellStyles>
  <dxfs count="2">
    <dxf>
      <font>
        <color theme="1"/>
      </font>
      <fill>
        <patternFill>
          <bgColor theme="9"/>
        </patternFill>
      </fill>
    </dxf>
    <dxf>
      <font>
        <color theme="2"/>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alcChain" Target="calcChain.xml"/><Relationship Id="rId4" Type="http://schemas.openxmlformats.org/officeDocument/2006/relationships/theme" Target="theme/theme1.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3704-6BB8-4343-AED5-6BD9D148F4E8}">
  <dimension ref="A1:T309"/>
  <sheetViews>
    <sheetView tabSelected="1" topLeftCell="A203" zoomScaleNormal="100" workbookViewId="0">
      <selection activeCell="D194" sqref="D194"/>
    </sheetView>
  </sheetViews>
  <sheetFormatPr defaultRowHeight="15" x14ac:dyDescent="0.25"/>
  <cols>
    <col min="1" max="1" width="30.42578125" customWidth="1"/>
    <col min="2" max="2" width="20.28515625" style="5" customWidth="1"/>
    <col min="3" max="3" width="11.140625" style="1" bestFit="1" customWidth="1"/>
    <col min="4" max="4" width="11.7109375" bestFit="1" customWidth="1"/>
    <col min="5" max="5" width="7" customWidth="1"/>
    <col min="6" max="7" width="5.5703125" customWidth="1"/>
    <col min="8" max="8" width="14.28515625" bestFit="1" customWidth="1"/>
    <col min="9" max="9" width="96.7109375" style="15" customWidth="1"/>
    <col min="10" max="10" width="28.7109375" customWidth="1"/>
    <col min="11" max="11" width="9.28515625" customWidth="1"/>
    <col min="12" max="12" width="8.140625" customWidth="1"/>
    <col min="17" max="17" width="9.140625" style="13"/>
  </cols>
  <sheetData>
    <row r="1" spans="1:18" s="2" customFormat="1" x14ac:dyDescent="0.25">
      <c r="A1" s="2" t="s">
        <v>0</v>
      </c>
      <c r="B1" s="6" t="s">
        <v>1</v>
      </c>
      <c r="C1" s="17" t="s">
        <v>2</v>
      </c>
      <c r="D1" s="18"/>
      <c r="E1" s="18"/>
      <c r="F1" s="18"/>
      <c r="G1" s="18"/>
      <c r="H1" s="19"/>
      <c r="I1" s="17" t="s">
        <v>9</v>
      </c>
      <c r="J1" s="18"/>
      <c r="K1" s="18"/>
      <c r="L1" s="18"/>
      <c r="M1" s="18"/>
      <c r="Q1" s="11"/>
    </row>
    <row r="2" spans="1:18" s="3" customFormat="1" x14ac:dyDescent="0.25">
      <c r="B2" s="7"/>
      <c r="C2" s="4" t="s">
        <v>3</v>
      </c>
      <c r="D2" s="3" t="s">
        <v>4</v>
      </c>
      <c r="E2" s="3" t="s">
        <v>5</v>
      </c>
      <c r="F2" s="3" t="s">
        <v>6</v>
      </c>
      <c r="G2" s="3" t="s">
        <v>7</v>
      </c>
      <c r="H2" s="3" t="s">
        <v>8</v>
      </c>
      <c r="I2" s="14" t="s">
        <v>10</v>
      </c>
      <c r="J2" s="3" t="s">
        <v>11</v>
      </c>
      <c r="K2" s="3" t="s">
        <v>12</v>
      </c>
      <c r="L2" s="3" t="s">
        <v>13</v>
      </c>
      <c r="M2" s="3" t="s">
        <v>48</v>
      </c>
      <c r="Q2" s="12"/>
    </row>
    <row r="3" spans="1:18" x14ac:dyDescent="0.25">
      <c r="A3" t="s">
        <v>14</v>
      </c>
      <c r="B3" s="5" t="s">
        <v>15</v>
      </c>
      <c r="C3" s="1" t="s">
        <v>20</v>
      </c>
      <c r="D3" t="s">
        <v>16</v>
      </c>
      <c r="E3" t="s">
        <v>17</v>
      </c>
      <c r="F3">
        <v>60</v>
      </c>
      <c r="G3">
        <v>4</v>
      </c>
      <c r="H3" t="s">
        <v>18</v>
      </c>
      <c r="I3" s="15" t="s">
        <v>19</v>
      </c>
      <c r="J3" s="9" t="s">
        <v>22</v>
      </c>
      <c r="K3">
        <v>3.89</v>
      </c>
      <c r="L3">
        <v>16</v>
      </c>
      <c r="O3" t="str" cm="1">
        <f t="array" ref="O3:O8">J3:J8</f>
        <v>f</v>
      </c>
      <c r="R3">
        <f>COUNTIF($J3:$J13,"t")</f>
        <v>0</v>
      </c>
    </row>
    <row r="4" spans="1:18" x14ac:dyDescent="0.25">
      <c r="I4" s="15" t="s">
        <v>19</v>
      </c>
      <c r="J4" s="9" t="s">
        <v>22</v>
      </c>
      <c r="K4">
        <v>2.95</v>
      </c>
      <c r="L4">
        <v>16</v>
      </c>
      <c r="O4" t="str">
        <v>f</v>
      </c>
    </row>
    <row r="5" spans="1:18" x14ac:dyDescent="0.25">
      <c r="I5" s="15" t="s">
        <v>19</v>
      </c>
      <c r="J5" s="9" t="s">
        <v>22</v>
      </c>
      <c r="K5">
        <v>3.15</v>
      </c>
      <c r="L5">
        <v>16</v>
      </c>
      <c r="O5" t="str">
        <v>f</v>
      </c>
    </row>
    <row r="6" spans="1:18" x14ac:dyDescent="0.25">
      <c r="I6" s="15" t="s">
        <v>19</v>
      </c>
      <c r="J6" s="9" t="s">
        <v>22</v>
      </c>
      <c r="K6">
        <v>3.24</v>
      </c>
      <c r="L6">
        <v>16</v>
      </c>
      <c r="O6" t="str">
        <v>f</v>
      </c>
    </row>
    <row r="7" spans="1:18" x14ac:dyDescent="0.25">
      <c r="I7" s="15" t="s">
        <v>19</v>
      </c>
      <c r="J7" s="9" t="s">
        <v>22</v>
      </c>
      <c r="K7">
        <v>3.31</v>
      </c>
      <c r="L7">
        <v>16</v>
      </c>
      <c r="O7" t="str">
        <v>f</v>
      </c>
    </row>
    <row r="8" spans="1:18" x14ac:dyDescent="0.25">
      <c r="I8" s="15" t="s">
        <v>19</v>
      </c>
      <c r="J8" s="9" t="s">
        <v>22</v>
      </c>
      <c r="K8">
        <v>2.98</v>
      </c>
      <c r="L8">
        <v>16</v>
      </c>
      <c r="O8" t="str">
        <v>f</v>
      </c>
    </row>
    <row r="9" spans="1:18" ht="120" x14ac:dyDescent="0.25">
      <c r="C9" s="1" t="s">
        <v>21</v>
      </c>
      <c r="F9">
        <v>77</v>
      </c>
      <c r="I9" s="15" t="s">
        <v>23</v>
      </c>
      <c r="J9" s="9" t="s">
        <v>22</v>
      </c>
      <c r="K9">
        <v>27.21</v>
      </c>
      <c r="L9">
        <v>117</v>
      </c>
      <c r="M9">
        <v>1</v>
      </c>
      <c r="P9" t="str" cm="1">
        <f t="array" ref="P9:P13">J9:J13</f>
        <v>f</v>
      </c>
    </row>
    <row r="10" spans="1:18" ht="210" x14ac:dyDescent="0.25">
      <c r="I10" s="15" t="s">
        <v>24</v>
      </c>
      <c r="J10" s="9" t="s">
        <v>22</v>
      </c>
      <c r="K10">
        <v>46.97</v>
      </c>
      <c r="L10">
        <v>213</v>
      </c>
      <c r="M10">
        <v>1</v>
      </c>
      <c r="P10" t="str">
        <v>f</v>
      </c>
    </row>
    <row r="11" spans="1:18" ht="285" x14ac:dyDescent="0.25">
      <c r="I11" s="15" t="s">
        <v>25</v>
      </c>
      <c r="J11" s="9" t="s">
        <v>22</v>
      </c>
      <c r="K11">
        <v>63.15</v>
      </c>
      <c r="L11">
        <v>384</v>
      </c>
      <c r="M11">
        <v>1</v>
      </c>
      <c r="P11" t="str">
        <v>f</v>
      </c>
    </row>
    <row r="12" spans="1:18" ht="315" x14ac:dyDescent="0.25">
      <c r="I12" s="15" t="s">
        <v>26</v>
      </c>
      <c r="J12" s="9" t="s">
        <v>22</v>
      </c>
      <c r="K12">
        <v>63.85</v>
      </c>
      <c r="L12">
        <v>387</v>
      </c>
      <c r="M12">
        <v>1</v>
      </c>
      <c r="P12" t="str">
        <v>f</v>
      </c>
    </row>
    <row r="13" spans="1:18" s="2" customFormat="1" ht="330" x14ac:dyDescent="0.25">
      <c r="B13" s="6"/>
      <c r="C13" s="8"/>
      <c r="I13" s="16" t="s">
        <v>27</v>
      </c>
      <c r="J13" s="10" t="s">
        <v>22</v>
      </c>
      <c r="K13" s="2">
        <v>82.13</v>
      </c>
      <c r="L13" s="2">
        <v>451</v>
      </c>
      <c r="M13" s="2">
        <v>1</v>
      </c>
      <c r="P13" s="2" t="str">
        <v>f</v>
      </c>
      <c r="Q13" s="11"/>
    </row>
    <row r="14" spans="1:18" x14ac:dyDescent="0.25">
      <c r="A14" t="s">
        <v>43</v>
      </c>
      <c r="B14" s="5" t="s">
        <v>15</v>
      </c>
      <c r="C14" s="1" t="s">
        <v>35</v>
      </c>
      <c r="D14" t="s">
        <v>16</v>
      </c>
      <c r="E14" t="s">
        <v>37</v>
      </c>
      <c r="F14">
        <v>60</v>
      </c>
      <c r="G14">
        <v>4</v>
      </c>
      <c r="H14" t="s">
        <v>18</v>
      </c>
      <c r="I14" s="15" t="s">
        <v>38</v>
      </c>
      <c r="J14" s="9" t="s">
        <v>39</v>
      </c>
      <c r="K14">
        <v>4.12</v>
      </c>
      <c r="L14">
        <v>18</v>
      </c>
      <c r="O14" t="str" cm="1">
        <f t="array" ref="O14:O18">J14:J18</f>
        <v>t</v>
      </c>
      <c r="Q14">
        <f>COUNTIF($J14:$J24,"t")</f>
        <v>9</v>
      </c>
    </row>
    <row r="15" spans="1:18" ht="45" x14ac:dyDescent="0.25">
      <c r="F15" s="5"/>
      <c r="I15" s="15" t="s">
        <v>40</v>
      </c>
      <c r="J15" s="9" t="s">
        <v>39</v>
      </c>
      <c r="K15">
        <v>14.75</v>
      </c>
      <c r="L15">
        <v>61</v>
      </c>
      <c r="O15" t="str">
        <v>t</v>
      </c>
    </row>
    <row r="16" spans="1:18" x14ac:dyDescent="0.25">
      <c r="I16" s="15" t="s">
        <v>38</v>
      </c>
      <c r="J16" s="9" t="s">
        <v>39</v>
      </c>
      <c r="K16">
        <v>3.71</v>
      </c>
      <c r="L16">
        <v>19</v>
      </c>
      <c r="O16" t="str">
        <v>t</v>
      </c>
    </row>
    <row r="17" spans="1:17" ht="165" x14ac:dyDescent="0.25">
      <c r="I17" s="15" t="s">
        <v>41</v>
      </c>
      <c r="J17" s="9" t="s">
        <v>39</v>
      </c>
      <c r="K17">
        <v>36.450000000000003</v>
      </c>
      <c r="L17">
        <v>158</v>
      </c>
      <c r="O17" t="str">
        <v>t</v>
      </c>
    </row>
    <row r="18" spans="1:17" x14ac:dyDescent="0.25">
      <c r="I18" s="15" t="s">
        <v>42</v>
      </c>
      <c r="J18" s="9" t="s">
        <v>39</v>
      </c>
      <c r="K18">
        <v>3.73</v>
      </c>
      <c r="L18">
        <v>18</v>
      </c>
      <c r="O18" t="str">
        <v>t</v>
      </c>
    </row>
    <row r="19" spans="1:17" ht="409.5" x14ac:dyDescent="0.25">
      <c r="C19" s="1" t="s">
        <v>36</v>
      </c>
      <c r="F19">
        <v>77</v>
      </c>
      <c r="I19" s="15" t="s">
        <v>44</v>
      </c>
      <c r="J19" s="9" t="s">
        <v>22</v>
      </c>
      <c r="K19">
        <v>103.53</v>
      </c>
      <c r="L19">
        <v>434</v>
      </c>
      <c r="M19">
        <v>1</v>
      </c>
      <c r="P19" t="str" cm="1">
        <f t="array" ref="P19:P23">J19:J23</f>
        <v>f</v>
      </c>
    </row>
    <row r="20" spans="1:17" ht="150" x14ac:dyDescent="0.25">
      <c r="I20" s="15" t="s">
        <v>45</v>
      </c>
      <c r="J20" s="9" t="s">
        <v>39</v>
      </c>
      <c r="K20">
        <v>35.53</v>
      </c>
      <c r="L20">
        <v>152</v>
      </c>
      <c r="P20" t="str">
        <v>t</v>
      </c>
    </row>
    <row r="21" spans="1:17" ht="330" x14ac:dyDescent="0.25">
      <c r="I21" s="15" t="s">
        <v>46</v>
      </c>
      <c r="J21" s="9" t="s">
        <v>39</v>
      </c>
      <c r="K21">
        <v>83.03</v>
      </c>
      <c r="L21">
        <v>370</v>
      </c>
      <c r="P21" t="str">
        <v>t</v>
      </c>
    </row>
    <row r="22" spans="1:17" ht="225" x14ac:dyDescent="0.25">
      <c r="I22" s="15" t="s">
        <v>47</v>
      </c>
      <c r="J22" s="9" t="s">
        <v>39</v>
      </c>
      <c r="K22">
        <v>46.76</v>
      </c>
      <c r="L22">
        <v>209</v>
      </c>
      <c r="P22" t="str">
        <v>t</v>
      </c>
    </row>
    <row r="23" spans="1:17" s="2" customFormat="1" ht="409.5" x14ac:dyDescent="0.25">
      <c r="B23" s="6"/>
      <c r="C23" s="8"/>
      <c r="I23" s="16" t="s">
        <v>52</v>
      </c>
      <c r="J23" s="10" t="s">
        <v>39</v>
      </c>
      <c r="K23" s="2">
        <v>81.83</v>
      </c>
      <c r="L23" s="2">
        <v>413</v>
      </c>
      <c r="P23" s="2" t="str">
        <v>t</v>
      </c>
      <c r="Q23" s="11"/>
    </row>
    <row r="24" spans="1:17" ht="75" x14ac:dyDescent="0.25">
      <c r="A24" t="s">
        <v>53</v>
      </c>
      <c r="B24" s="5" t="s">
        <v>54</v>
      </c>
      <c r="C24" s="1" t="s">
        <v>55</v>
      </c>
      <c r="D24" t="s">
        <v>56</v>
      </c>
      <c r="E24" t="s">
        <v>37</v>
      </c>
      <c r="F24">
        <v>53</v>
      </c>
      <c r="G24">
        <v>4</v>
      </c>
      <c r="H24" t="s">
        <v>18</v>
      </c>
      <c r="I24" s="15" t="s">
        <v>57</v>
      </c>
      <c r="J24" s="9" t="s">
        <v>22</v>
      </c>
      <c r="K24">
        <v>13.58</v>
      </c>
      <c r="L24">
        <v>74</v>
      </c>
      <c r="O24" t="str" cm="1">
        <f t="array" ref="O24:O28">J24:J28</f>
        <v>f</v>
      </c>
      <c r="Q24">
        <f>COUNTIF($J24:$J34,"t")</f>
        <v>0</v>
      </c>
    </row>
    <row r="25" spans="1:17" ht="45" x14ac:dyDescent="0.25">
      <c r="I25" s="15" t="s">
        <v>58</v>
      </c>
      <c r="J25" s="9" t="s">
        <v>22</v>
      </c>
      <c r="K25">
        <v>10.4</v>
      </c>
      <c r="L25">
        <v>53</v>
      </c>
      <c r="O25" t="str">
        <v>f</v>
      </c>
    </row>
    <row r="26" spans="1:17" ht="75" x14ac:dyDescent="0.25">
      <c r="I26" s="15" t="s">
        <v>59</v>
      </c>
      <c r="J26" s="9" t="s">
        <v>22</v>
      </c>
      <c r="K26">
        <v>18.91</v>
      </c>
      <c r="L26">
        <v>98</v>
      </c>
      <c r="O26" t="str">
        <v>f</v>
      </c>
    </row>
    <row r="27" spans="1:17" ht="60" x14ac:dyDescent="0.25">
      <c r="I27" s="15" t="s">
        <v>60</v>
      </c>
      <c r="J27" s="9" t="s">
        <v>22</v>
      </c>
      <c r="K27">
        <v>14.29</v>
      </c>
      <c r="L27">
        <v>75</v>
      </c>
      <c r="O27" t="str">
        <v>f</v>
      </c>
    </row>
    <row r="28" spans="1:17" ht="75" x14ac:dyDescent="0.25">
      <c r="I28" s="15" t="s">
        <v>61</v>
      </c>
      <c r="J28" s="9" t="s">
        <v>22</v>
      </c>
      <c r="K28">
        <v>18.739999999999998</v>
      </c>
      <c r="L28">
        <v>102</v>
      </c>
      <c r="O28" t="str">
        <v>f</v>
      </c>
    </row>
    <row r="29" spans="1:17" ht="285" x14ac:dyDescent="0.25">
      <c r="C29" s="1" t="s">
        <v>62</v>
      </c>
      <c r="F29">
        <v>70</v>
      </c>
      <c r="I29" s="15" t="s">
        <v>63</v>
      </c>
      <c r="J29" s="9" t="s">
        <v>22</v>
      </c>
      <c r="K29">
        <v>61.53</v>
      </c>
      <c r="L29">
        <v>314</v>
      </c>
      <c r="P29" t="str" cm="1">
        <f t="array" ref="P29:P33">J29:J33</f>
        <v>f</v>
      </c>
    </row>
    <row r="30" spans="1:17" ht="120" x14ac:dyDescent="0.25">
      <c r="I30" s="15" t="s">
        <v>64</v>
      </c>
      <c r="J30" s="9" t="s">
        <v>22</v>
      </c>
      <c r="K30">
        <v>31.55</v>
      </c>
      <c r="L30">
        <v>166</v>
      </c>
      <c r="P30" t="str">
        <v>f</v>
      </c>
    </row>
    <row r="31" spans="1:17" ht="135" x14ac:dyDescent="0.25">
      <c r="I31" s="15" t="s">
        <v>65</v>
      </c>
      <c r="J31" s="9" t="s">
        <v>22</v>
      </c>
      <c r="K31">
        <v>37.729999999999997</v>
      </c>
      <c r="L31">
        <v>197</v>
      </c>
      <c r="P31" t="str">
        <v>f</v>
      </c>
    </row>
    <row r="32" spans="1:17" ht="120" x14ac:dyDescent="0.25">
      <c r="I32" s="15" t="s">
        <v>66</v>
      </c>
      <c r="J32" s="9" t="s">
        <v>22</v>
      </c>
      <c r="K32">
        <v>31.57</v>
      </c>
      <c r="L32">
        <v>165</v>
      </c>
      <c r="P32" t="str">
        <v>f</v>
      </c>
    </row>
    <row r="33" spans="1:18" s="2" customFormat="1" ht="120" x14ac:dyDescent="0.25">
      <c r="B33" s="6"/>
      <c r="C33" s="8"/>
      <c r="I33" s="16" t="s">
        <v>67</v>
      </c>
      <c r="J33" s="10" t="s">
        <v>22</v>
      </c>
      <c r="K33" s="2">
        <v>28.66</v>
      </c>
      <c r="L33" s="2">
        <v>156</v>
      </c>
      <c r="P33" s="2" t="str">
        <v>f</v>
      </c>
      <c r="Q33" s="11"/>
    </row>
    <row r="34" spans="1:18" ht="30" x14ac:dyDescent="0.25">
      <c r="A34" t="s">
        <v>68</v>
      </c>
      <c r="B34" s="5" t="s">
        <v>70</v>
      </c>
      <c r="C34" s="1" t="s">
        <v>69</v>
      </c>
      <c r="D34" t="s">
        <v>16</v>
      </c>
      <c r="E34" t="s">
        <v>17</v>
      </c>
      <c r="F34">
        <v>62</v>
      </c>
      <c r="G34">
        <v>3</v>
      </c>
      <c r="H34" t="s">
        <v>82</v>
      </c>
      <c r="I34" s="15" t="s">
        <v>71</v>
      </c>
      <c r="J34" s="9" t="s">
        <v>22</v>
      </c>
      <c r="K34">
        <v>7.57</v>
      </c>
      <c r="L34">
        <v>42</v>
      </c>
      <c r="O34" t="str" cm="1">
        <f t="array" ref="O34:O38">J34:J38</f>
        <v>f</v>
      </c>
      <c r="R34">
        <f>COUNTIF($J34:$J44,"t")</f>
        <v>2</v>
      </c>
    </row>
    <row r="35" spans="1:18" ht="60" x14ac:dyDescent="0.25">
      <c r="I35" s="15" t="s">
        <v>72</v>
      </c>
      <c r="J35" s="9" t="s">
        <v>22</v>
      </c>
      <c r="K35">
        <v>15.54</v>
      </c>
      <c r="L35">
        <v>84</v>
      </c>
      <c r="O35" t="str">
        <v>f</v>
      </c>
    </row>
    <row r="36" spans="1:18" ht="75" x14ac:dyDescent="0.25">
      <c r="I36" s="15" t="s">
        <v>73</v>
      </c>
      <c r="J36" s="9" t="s">
        <v>22</v>
      </c>
      <c r="K36">
        <v>16.899999999999999</v>
      </c>
      <c r="L36">
        <v>89</v>
      </c>
      <c r="O36" t="str">
        <v>f</v>
      </c>
    </row>
    <row r="37" spans="1:18" ht="45" x14ac:dyDescent="0.25">
      <c r="I37" s="15" t="s">
        <v>74</v>
      </c>
      <c r="J37" s="9" t="s">
        <v>22</v>
      </c>
      <c r="K37">
        <v>12.52</v>
      </c>
      <c r="L37">
        <v>66</v>
      </c>
      <c r="O37" t="str">
        <v>f</v>
      </c>
    </row>
    <row r="38" spans="1:18" ht="45" x14ac:dyDescent="0.25">
      <c r="I38" s="15" t="s">
        <v>75</v>
      </c>
      <c r="J38" s="9" t="s">
        <v>22</v>
      </c>
      <c r="K38">
        <v>9.93</v>
      </c>
      <c r="L38">
        <v>57</v>
      </c>
      <c r="O38" t="str">
        <v>f</v>
      </c>
    </row>
    <row r="39" spans="1:18" ht="210" x14ac:dyDescent="0.25">
      <c r="C39" s="1" t="s">
        <v>76</v>
      </c>
      <c r="F39">
        <v>80</v>
      </c>
      <c r="I39" s="15" t="s">
        <v>77</v>
      </c>
      <c r="J39" s="9" t="s">
        <v>22</v>
      </c>
      <c r="K39">
        <v>39.85</v>
      </c>
      <c r="L39">
        <v>231</v>
      </c>
      <c r="P39" t="str" cm="1">
        <f t="array" ref="P39:P43">J39:J43</f>
        <v>f</v>
      </c>
    </row>
    <row r="40" spans="1:18" ht="120" x14ac:dyDescent="0.25">
      <c r="I40" s="15" t="s">
        <v>78</v>
      </c>
      <c r="J40" s="9" t="s">
        <v>22</v>
      </c>
      <c r="K40">
        <v>32.94</v>
      </c>
      <c r="L40">
        <v>168</v>
      </c>
      <c r="P40" t="str">
        <v>f</v>
      </c>
    </row>
    <row r="41" spans="1:18" ht="195" x14ac:dyDescent="0.25">
      <c r="I41" s="15" t="s">
        <v>79</v>
      </c>
      <c r="J41" s="9" t="s">
        <v>22</v>
      </c>
      <c r="K41">
        <v>43.27</v>
      </c>
      <c r="L41">
        <v>229</v>
      </c>
      <c r="P41" t="str">
        <v>f</v>
      </c>
    </row>
    <row r="42" spans="1:18" ht="255" x14ac:dyDescent="0.25">
      <c r="I42" s="15" t="s">
        <v>80</v>
      </c>
      <c r="J42" s="9" t="s">
        <v>22</v>
      </c>
      <c r="K42">
        <v>59.45</v>
      </c>
      <c r="L42">
        <v>294</v>
      </c>
      <c r="P42" t="str">
        <v>f</v>
      </c>
    </row>
    <row r="43" spans="1:18" s="2" customFormat="1" ht="60" x14ac:dyDescent="0.25">
      <c r="B43" s="6"/>
      <c r="C43" s="8"/>
      <c r="I43" s="16" t="s">
        <v>81</v>
      </c>
      <c r="J43" s="10" t="s">
        <v>39</v>
      </c>
      <c r="K43" s="2">
        <v>15.84</v>
      </c>
      <c r="L43" s="2">
        <v>92</v>
      </c>
      <c r="P43" s="2" t="str">
        <v>t</v>
      </c>
      <c r="Q43" s="11"/>
    </row>
    <row r="44" spans="1:18" ht="90" x14ac:dyDescent="0.25">
      <c r="A44" t="s">
        <v>83</v>
      </c>
      <c r="B44" s="5" t="s">
        <v>84</v>
      </c>
      <c r="C44" s="1" t="s">
        <v>90</v>
      </c>
      <c r="D44" t="s">
        <v>16</v>
      </c>
      <c r="E44" t="s">
        <v>37</v>
      </c>
      <c r="F44">
        <v>53</v>
      </c>
      <c r="G44">
        <v>5</v>
      </c>
      <c r="H44" t="s">
        <v>82</v>
      </c>
      <c r="I44" s="15" t="s">
        <v>85</v>
      </c>
      <c r="J44" s="9" t="s">
        <v>39</v>
      </c>
      <c r="K44">
        <v>19.95</v>
      </c>
      <c r="L44">
        <v>111</v>
      </c>
      <c r="O44" t="str" cm="1">
        <f t="array" ref="O44:O48">J44:J48</f>
        <v>t</v>
      </c>
      <c r="Q44">
        <f>COUNTIF($J44:$J54,"t")</f>
        <v>8</v>
      </c>
    </row>
    <row r="45" spans="1:18" ht="60" x14ac:dyDescent="0.25">
      <c r="I45" s="15" t="s">
        <v>86</v>
      </c>
      <c r="J45" s="9" t="s">
        <v>39</v>
      </c>
      <c r="K45">
        <v>16.489999999999998</v>
      </c>
      <c r="L45">
        <v>89</v>
      </c>
      <c r="O45" t="str">
        <v>t</v>
      </c>
    </row>
    <row r="46" spans="1:18" ht="45" x14ac:dyDescent="0.25">
      <c r="I46" s="15" t="s">
        <v>87</v>
      </c>
      <c r="J46" s="9" t="s">
        <v>39</v>
      </c>
      <c r="K46">
        <v>11.46</v>
      </c>
      <c r="L46">
        <v>65</v>
      </c>
      <c r="O46" t="str">
        <v>t</v>
      </c>
    </row>
    <row r="47" spans="1:18" ht="75" x14ac:dyDescent="0.25">
      <c r="I47" s="15" t="s">
        <v>88</v>
      </c>
      <c r="J47" s="9" t="s">
        <v>22</v>
      </c>
      <c r="K47">
        <v>15.15</v>
      </c>
      <c r="L47">
        <v>90</v>
      </c>
      <c r="O47" t="str">
        <v>f</v>
      </c>
    </row>
    <row r="48" spans="1:18" ht="30" x14ac:dyDescent="0.25">
      <c r="I48" s="15" t="s">
        <v>89</v>
      </c>
      <c r="J48" s="9" t="s">
        <v>39</v>
      </c>
      <c r="K48">
        <v>8.4499999999999993</v>
      </c>
      <c r="L48">
        <v>49</v>
      </c>
      <c r="O48" t="str">
        <v>t</v>
      </c>
    </row>
    <row r="49" spans="1:18" ht="390" x14ac:dyDescent="0.25">
      <c r="C49" s="1" t="s">
        <v>91</v>
      </c>
      <c r="F49">
        <v>69</v>
      </c>
      <c r="I49" s="15" t="s">
        <v>92</v>
      </c>
      <c r="J49" s="9" t="s">
        <v>22</v>
      </c>
      <c r="K49">
        <v>64.89</v>
      </c>
      <c r="L49">
        <v>361</v>
      </c>
      <c r="P49" t="str" cm="1">
        <f t="array" ref="P49:P53">J49:J53</f>
        <v>f</v>
      </c>
    </row>
    <row r="50" spans="1:18" ht="270" x14ac:dyDescent="0.25">
      <c r="I50" s="15" t="s">
        <v>93</v>
      </c>
      <c r="J50" s="9" t="s">
        <v>39</v>
      </c>
      <c r="K50">
        <v>61.86</v>
      </c>
      <c r="L50">
        <v>315</v>
      </c>
      <c r="P50" t="str">
        <v>t</v>
      </c>
    </row>
    <row r="51" spans="1:18" ht="150" x14ac:dyDescent="0.25">
      <c r="I51" s="15" t="s">
        <v>94</v>
      </c>
      <c r="J51" s="9" t="s">
        <v>39</v>
      </c>
      <c r="K51">
        <v>34.15</v>
      </c>
      <c r="L51">
        <v>196</v>
      </c>
      <c r="P51" t="str">
        <v>t</v>
      </c>
    </row>
    <row r="52" spans="1:18" ht="240" x14ac:dyDescent="0.25">
      <c r="I52" s="15" t="s">
        <v>95</v>
      </c>
      <c r="J52" s="9" t="s">
        <v>39</v>
      </c>
      <c r="K52">
        <v>46.91</v>
      </c>
      <c r="L52">
        <v>260</v>
      </c>
      <c r="P52" t="str">
        <v>t</v>
      </c>
    </row>
    <row r="53" spans="1:18" s="2" customFormat="1" ht="360" x14ac:dyDescent="0.25">
      <c r="B53" s="6"/>
      <c r="C53" s="8"/>
      <c r="I53" s="16" t="s">
        <v>96</v>
      </c>
      <c r="J53" s="10" t="s">
        <v>39</v>
      </c>
      <c r="K53" s="2">
        <v>67.48</v>
      </c>
      <c r="L53" s="2">
        <v>367</v>
      </c>
      <c r="P53" s="2" t="str">
        <v>t</v>
      </c>
      <c r="Q53" s="11"/>
    </row>
    <row r="54" spans="1:18" ht="45" x14ac:dyDescent="0.25">
      <c r="A54" t="s">
        <v>98</v>
      </c>
      <c r="B54" s="5" t="s">
        <v>99</v>
      </c>
      <c r="C54" s="1" t="s">
        <v>97</v>
      </c>
      <c r="D54" t="s">
        <v>16</v>
      </c>
      <c r="E54" t="s">
        <v>17</v>
      </c>
      <c r="F54">
        <v>46</v>
      </c>
      <c r="G54">
        <v>4</v>
      </c>
      <c r="H54" t="s">
        <v>18</v>
      </c>
      <c r="I54" s="15" t="s">
        <v>100</v>
      </c>
      <c r="J54" s="9" t="s">
        <v>22</v>
      </c>
      <c r="K54">
        <v>10.85</v>
      </c>
      <c r="L54">
        <v>60</v>
      </c>
      <c r="O54" t="str" cm="1">
        <f t="array" ref="O54:O58">J54:J58</f>
        <v>f</v>
      </c>
      <c r="R54">
        <f>COUNTIF($J54:$J64,"t")</f>
        <v>2</v>
      </c>
    </row>
    <row r="55" spans="1:18" ht="60" x14ac:dyDescent="0.25">
      <c r="I55" s="15" t="s">
        <v>101</v>
      </c>
      <c r="J55" s="9" t="s">
        <v>22</v>
      </c>
      <c r="K55">
        <v>14.88</v>
      </c>
      <c r="L55">
        <v>80</v>
      </c>
      <c r="O55" t="str">
        <v>f</v>
      </c>
    </row>
    <row r="56" spans="1:18" ht="30" x14ac:dyDescent="0.25">
      <c r="I56" s="15" t="s">
        <v>102</v>
      </c>
      <c r="J56" s="9" t="s">
        <v>22</v>
      </c>
      <c r="K56">
        <v>7.89</v>
      </c>
      <c r="L56">
        <v>46</v>
      </c>
      <c r="O56" t="str">
        <v>f</v>
      </c>
    </row>
    <row r="57" spans="1:18" ht="60" x14ac:dyDescent="0.25">
      <c r="I57" s="15" t="s">
        <v>103</v>
      </c>
      <c r="J57" s="9" t="s">
        <v>22</v>
      </c>
      <c r="K57">
        <v>14.98</v>
      </c>
      <c r="L57">
        <v>83</v>
      </c>
      <c r="O57" t="str">
        <v>f</v>
      </c>
    </row>
    <row r="58" spans="1:18" ht="45" x14ac:dyDescent="0.25">
      <c r="I58" s="15" t="s">
        <v>104</v>
      </c>
      <c r="J58" s="9" t="s">
        <v>22</v>
      </c>
      <c r="K58">
        <v>9.69</v>
      </c>
      <c r="L58">
        <v>56</v>
      </c>
      <c r="O58" t="str">
        <v>f</v>
      </c>
    </row>
    <row r="59" spans="1:18" ht="135" x14ac:dyDescent="0.25">
      <c r="C59" s="1" t="s">
        <v>110</v>
      </c>
      <c r="F59">
        <v>63</v>
      </c>
      <c r="I59" s="15" t="s">
        <v>105</v>
      </c>
      <c r="J59" s="9" t="s">
        <v>39</v>
      </c>
      <c r="K59">
        <v>26.67</v>
      </c>
      <c r="L59">
        <v>159</v>
      </c>
      <c r="P59" t="str" cm="1">
        <f t="array" ref="P59:P63">J59:J63</f>
        <v>t</v>
      </c>
    </row>
    <row r="60" spans="1:18" ht="105" x14ac:dyDescent="0.25">
      <c r="I60" s="15" t="s">
        <v>106</v>
      </c>
      <c r="J60" s="9" t="s">
        <v>39</v>
      </c>
      <c r="K60">
        <v>22.79</v>
      </c>
      <c r="L60">
        <v>129</v>
      </c>
      <c r="P60" t="str">
        <v>t</v>
      </c>
    </row>
    <row r="61" spans="1:18" ht="120" x14ac:dyDescent="0.25">
      <c r="I61" s="15" t="s">
        <v>107</v>
      </c>
      <c r="J61" s="9" t="s">
        <v>22</v>
      </c>
      <c r="K61">
        <v>26</v>
      </c>
      <c r="L61">
        <v>135</v>
      </c>
      <c r="P61" t="str">
        <v>f</v>
      </c>
    </row>
    <row r="62" spans="1:18" ht="135" x14ac:dyDescent="0.25">
      <c r="I62" s="15" t="s">
        <v>108</v>
      </c>
      <c r="J62" s="9" t="s">
        <v>22</v>
      </c>
      <c r="K62">
        <v>26.78</v>
      </c>
      <c r="L62">
        <v>163</v>
      </c>
      <c r="P62" t="str">
        <v>f</v>
      </c>
    </row>
    <row r="63" spans="1:18" s="2" customFormat="1" ht="165" x14ac:dyDescent="0.25">
      <c r="B63" s="6"/>
      <c r="C63" s="8"/>
      <c r="I63" s="16" t="s">
        <v>109</v>
      </c>
      <c r="J63" s="10" t="s">
        <v>22</v>
      </c>
      <c r="K63" s="2">
        <v>41.59</v>
      </c>
      <c r="L63" s="2">
        <v>214</v>
      </c>
      <c r="P63" s="2" t="str">
        <v>f</v>
      </c>
      <c r="Q63" s="11"/>
    </row>
    <row r="64" spans="1:18" ht="45" x14ac:dyDescent="0.25">
      <c r="A64" t="s">
        <v>111</v>
      </c>
      <c r="B64" s="5" t="s">
        <v>112</v>
      </c>
      <c r="C64" s="1" t="s">
        <v>127</v>
      </c>
      <c r="D64" t="s">
        <v>16</v>
      </c>
      <c r="E64" t="s">
        <v>17</v>
      </c>
      <c r="F64">
        <v>60</v>
      </c>
      <c r="G64">
        <v>3</v>
      </c>
      <c r="H64" t="s">
        <v>18</v>
      </c>
      <c r="I64" s="15" t="s">
        <v>114</v>
      </c>
      <c r="J64" s="9" t="s">
        <v>22</v>
      </c>
      <c r="K64">
        <v>13.36</v>
      </c>
      <c r="L64">
        <v>76</v>
      </c>
      <c r="O64" t="str" cm="1">
        <f t="array" ref="O64:O68">J64:J68</f>
        <v>f</v>
      </c>
      <c r="R64">
        <f>COUNTIF($J64:$J74,"t")</f>
        <v>5</v>
      </c>
    </row>
    <row r="65" spans="1:17" ht="75" x14ac:dyDescent="0.25">
      <c r="I65" s="15" t="s">
        <v>115</v>
      </c>
      <c r="J65" s="9" t="s">
        <v>39</v>
      </c>
      <c r="K65">
        <v>20.07</v>
      </c>
      <c r="L65">
        <v>111</v>
      </c>
      <c r="O65" t="str">
        <v>t</v>
      </c>
    </row>
    <row r="66" spans="1:17" ht="60" x14ac:dyDescent="0.25">
      <c r="I66" s="15" t="s">
        <v>116</v>
      </c>
      <c r="J66" s="9" t="s">
        <v>39</v>
      </c>
      <c r="K66">
        <v>14.05</v>
      </c>
      <c r="L66">
        <v>76</v>
      </c>
      <c r="O66" t="str">
        <v>t</v>
      </c>
    </row>
    <row r="67" spans="1:17" ht="45" x14ac:dyDescent="0.25">
      <c r="I67" s="15" t="s">
        <v>117</v>
      </c>
      <c r="J67" s="9" t="s">
        <v>39</v>
      </c>
      <c r="K67">
        <v>8.69</v>
      </c>
      <c r="L67">
        <v>53</v>
      </c>
      <c r="O67" t="str">
        <v>t</v>
      </c>
    </row>
    <row r="68" spans="1:17" ht="60" x14ac:dyDescent="0.25">
      <c r="I68" s="15" t="s">
        <v>118</v>
      </c>
      <c r="J68" s="9" t="s">
        <v>22</v>
      </c>
      <c r="K68">
        <v>13.49</v>
      </c>
      <c r="L68">
        <v>77</v>
      </c>
      <c r="O68" t="str">
        <v>f</v>
      </c>
    </row>
    <row r="69" spans="1:17" ht="105" x14ac:dyDescent="0.25">
      <c r="C69" s="1" t="s">
        <v>140</v>
      </c>
      <c r="F69">
        <v>77</v>
      </c>
      <c r="I69" s="15" t="s">
        <v>120</v>
      </c>
      <c r="J69" s="9" t="s">
        <v>22</v>
      </c>
      <c r="K69">
        <v>25.24</v>
      </c>
      <c r="L69">
        <v>151</v>
      </c>
      <c r="P69" t="str" cm="1">
        <f t="array" ref="P69:P73">J69:J73</f>
        <v>f</v>
      </c>
    </row>
    <row r="70" spans="1:17" ht="105" x14ac:dyDescent="0.25">
      <c r="I70" s="15" t="s">
        <v>121</v>
      </c>
      <c r="J70" s="9" t="s">
        <v>22</v>
      </c>
      <c r="K70">
        <v>27.77</v>
      </c>
      <c r="L70">
        <v>162</v>
      </c>
      <c r="P70" t="str">
        <v>f</v>
      </c>
    </row>
    <row r="71" spans="1:17" ht="120" x14ac:dyDescent="0.25">
      <c r="I71" s="15" t="s">
        <v>122</v>
      </c>
      <c r="J71" s="9" t="s">
        <v>22</v>
      </c>
      <c r="K71">
        <v>28.17</v>
      </c>
      <c r="L71">
        <v>168</v>
      </c>
      <c r="P71" t="str">
        <v>f</v>
      </c>
    </row>
    <row r="72" spans="1:17" ht="75" x14ac:dyDescent="0.25">
      <c r="I72" s="15" t="s">
        <v>123</v>
      </c>
      <c r="J72" s="9" t="s">
        <v>22</v>
      </c>
      <c r="K72">
        <v>18.64</v>
      </c>
      <c r="L72">
        <v>109</v>
      </c>
      <c r="P72" t="str">
        <v>f</v>
      </c>
    </row>
    <row r="73" spans="1:17" s="2" customFormat="1" ht="165" x14ac:dyDescent="0.25">
      <c r="B73" s="6"/>
      <c r="C73" s="8"/>
      <c r="I73" s="16" t="s">
        <v>124</v>
      </c>
      <c r="J73" s="2" t="s">
        <v>39</v>
      </c>
      <c r="K73" s="2">
        <v>46.56</v>
      </c>
      <c r="L73" s="2">
        <v>246</v>
      </c>
      <c r="P73" s="2" t="str">
        <v>t</v>
      </c>
      <c r="Q73" s="11"/>
    </row>
    <row r="74" spans="1:17" ht="75" x14ac:dyDescent="0.25">
      <c r="A74" t="s">
        <v>125</v>
      </c>
      <c r="B74" s="5" t="s">
        <v>126</v>
      </c>
      <c r="C74" s="1" t="s">
        <v>141</v>
      </c>
      <c r="D74" t="s">
        <v>16</v>
      </c>
      <c r="E74" t="s">
        <v>37</v>
      </c>
      <c r="F74">
        <v>48</v>
      </c>
      <c r="G74">
        <v>3</v>
      </c>
      <c r="H74" t="s">
        <v>82</v>
      </c>
      <c r="I74" s="15" t="s">
        <v>128</v>
      </c>
      <c r="J74" t="s">
        <v>39</v>
      </c>
      <c r="K74">
        <v>17.350000000000001</v>
      </c>
      <c r="L74">
        <v>91</v>
      </c>
      <c r="O74" t="str" cm="1">
        <f t="array" ref="O74:O78">J74:J78</f>
        <v>t</v>
      </c>
      <c r="Q74">
        <f>COUNTIF($J74:$J84,"t")</f>
        <v>11</v>
      </c>
    </row>
    <row r="75" spans="1:17" x14ac:dyDescent="0.25">
      <c r="I75" s="15" t="s">
        <v>129</v>
      </c>
      <c r="J75" t="s">
        <v>39</v>
      </c>
      <c r="K75">
        <v>2.19</v>
      </c>
      <c r="L75">
        <v>13</v>
      </c>
      <c r="O75" t="str">
        <v>t</v>
      </c>
    </row>
    <row r="76" spans="1:17" ht="45" x14ac:dyDescent="0.25">
      <c r="I76" s="15" t="s">
        <v>130</v>
      </c>
      <c r="J76" t="s">
        <v>39</v>
      </c>
      <c r="K76">
        <v>6.38</v>
      </c>
      <c r="L76">
        <v>41</v>
      </c>
      <c r="O76" t="str">
        <v>t</v>
      </c>
    </row>
    <row r="77" spans="1:17" ht="45" x14ac:dyDescent="0.25">
      <c r="I77" s="15" t="s">
        <v>131</v>
      </c>
      <c r="J77" t="s">
        <v>39</v>
      </c>
      <c r="K77">
        <v>10.26</v>
      </c>
      <c r="L77">
        <v>61</v>
      </c>
      <c r="O77" t="str">
        <v>t</v>
      </c>
    </row>
    <row r="78" spans="1:17" ht="30" x14ac:dyDescent="0.25">
      <c r="I78" s="15" t="s">
        <v>132</v>
      </c>
      <c r="J78" t="s">
        <v>39</v>
      </c>
      <c r="K78">
        <v>6.72</v>
      </c>
      <c r="L78">
        <v>42</v>
      </c>
      <c r="O78" t="str">
        <v>t</v>
      </c>
    </row>
    <row r="79" spans="1:17" ht="135" x14ac:dyDescent="0.25">
      <c r="C79" s="1" t="s">
        <v>147</v>
      </c>
      <c r="F79">
        <v>61</v>
      </c>
      <c r="I79" s="15" t="s">
        <v>133</v>
      </c>
      <c r="J79" t="s">
        <v>39</v>
      </c>
      <c r="K79">
        <v>27.64</v>
      </c>
      <c r="L79">
        <v>146</v>
      </c>
      <c r="P79" t="str" cm="1">
        <f t="array" ref="P79:P83">J79:J83</f>
        <v>t</v>
      </c>
    </row>
    <row r="80" spans="1:17" ht="90" x14ac:dyDescent="0.25">
      <c r="I80" s="15" t="s">
        <v>134</v>
      </c>
      <c r="J80" t="s">
        <v>39</v>
      </c>
      <c r="K80">
        <v>22.28</v>
      </c>
      <c r="L80">
        <v>131</v>
      </c>
      <c r="P80" t="str">
        <v>t</v>
      </c>
    </row>
    <row r="81" spans="1:18" ht="120" x14ac:dyDescent="0.25">
      <c r="I81" s="15" t="s">
        <v>135</v>
      </c>
      <c r="J81" t="s">
        <v>39</v>
      </c>
      <c r="K81">
        <v>29.01</v>
      </c>
      <c r="L81">
        <v>163</v>
      </c>
      <c r="P81" t="str">
        <v>t</v>
      </c>
    </row>
    <row r="82" spans="1:18" ht="75" x14ac:dyDescent="0.25">
      <c r="I82" s="15" t="s">
        <v>136</v>
      </c>
      <c r="J82" t="s">
        <v>39</v>
      </c>
      <c r="K82">
        <v>18.61</v>
      </c>
      <c r="L82">
        <v>108</v>
      </c>
      <c r="P82" t="str">
        <v>t</v>
      </c>
    </row>
    <row r="83" spans="1:18" s="2" customFormat="1" ht="120" x14ac:dyDescent="0.25">
      <c r="B83" s="6"/>
      <c r="C83" s="8"/>
      <c r="I83" s="16" t="s">
        <v>137</v>
      </c>
      <c r="J83" s="2" t="s">
        <v>39</v>
      </c>
      <c r="K83" s="2">
        <v>29.21</v>
      </c>
      <c r="L83" s="2">
        <v>159</v>
      </c>
      <c r="P83" s="2" t="str">
        <v>t</v>
      </c>
      <c r="Q83" s="11"/>
    </row>
    <row r="84" spans="1:18" x14ac:dyDescent="0.25">
      <c r="A84" t="s">
        <v>138</v>
      </c>
      <c r="B84" s="5" t="s">
        <v>139</v>
      </c>
      <c r="C84" s="1" t="s">
        <v>153</v>
      </c>
      <c r="D84" t="s">
        <v>16</v>
      </c>
      <c r="E84" t="s">
        <v>17</v>
      </c>
      <c r="F84">
        <v>47</v>
      </c>
      <c r="G84">
        <v>3</v>
      </c>
      <c r="H84" t="s">
        <v>82</v>
      </c>
      <c r="I84" s="15" t="s">
        <v>142</v>
      </c>
      <c r="J84" t="s">
        <v>39</v>
      </c>
      <c r="K84">
        <v>5.0199999999999996</v>
      </c>
      <c r="L84">
        <v>27</v>
      </c>
      <c r="O84" t="str" cm="1">
        <f t="array" ref="O84:O88">J84:J88</f>
        <v>t</v>
      </c>
      <c r="R84">
        <f>COUNTIF($J84:$J94,"t")</f>
        <v>11</v>
      </c>
    </row>
    <row r="85" spans="1:18" ht="30" x14ac:dyDescent="0.25">
      <c r="I85" s="15" t="s">
        <v>143</v>
      </c>
      <c r="J85" t="s">
        <v>39</v>
      </c>
      <c r="K85">
        <v>6.88</v>
      </c>
      <c r="L85">
        <v>42</v>
      </c>
      <c r="O85" t="str">
        <v>t</v>
      </c>
    </row>
    <row r="86" spans="1:18" x14ac:dyDescent="0.25">
      <c r="I86" s="15" t="s">
        <v>144</v>
      </c>
      <c r="J86" t="s">
        <v>39</v>
      </c>
      <c r="K86">
        <v>4.5599999999999996</v>
      </c>
      <c r="L86">
        <v>26</v>
      </c>
      <c r="O86" t="str">
        <v>t</v>
      </c>
    </row>
    <row r="87" spans="1:18" ht="30" x14ac:dyDescent="0.25">
      <c r="I87" s="15" t="s">
        <v>145</v>
      </c>
      <c r="J87" t="s">
        <v>39</v>
      </c>
      <c r="K87">
        <v>7.04</v>
      </c>
      <c r="L87">
        <v>41</v>
      </c>
      <c r="O87" t="str">
        <v>t</v>
      </c>
    </row>
    <row r="88" spans="1:18" ht="30" x14ac:dyDescent="0.25">
      <c r="I88" s="15" t="s">
        <v>146</v>
      </c>
      <c r="J88" t="s">
        <v>39</v>
      </c>
      <c r="K88">
        <v>5.77</v>
      </c>
      <c r="L88">
        <v>34</v>
      </c>
      <c r="O88" t="str">
        <v>t</v>
      </c>
    </row>
    <row r="89" spans="1:18" ht="165" x14ac:dyDescent="0.25">
      <c r="C89" s="1" t="s">
        <v>154</v>
      </c>
      <c r="F89">
        <v>64</v>
      </c>
      <c r="I89" s="15" t="s">
        <v>148</v>
      </c>
      <c r="J89" t="s">
        <v>39</v>
      </c>
      <c r="K89">
        <v>26.99</v>
      </c>
      <c r="L89">
        <v>153</v>
      </c>
      <c r="P89" t="str" cm="1">
        <f t="array" ref="P89:P93">J89:J93</f>
        <v>t</v>
      </c>
    </row>
    <row r="90" spans="1:18" ht="60" x14ac:dyDescent="0.25">
      <c r="I90" s="15" t="s">
        <v>149</v>
      </c>
      <c r="J90" t="s">
        <v>39</v>
      </c>
      <c r="K90">
        <v>16.77</v>
      </c>
      <c r="L90">
        <v>88</v>
      </c>
      <c r="P90" t="str">
        <v>t</v>
      </c>
    </row>
    <row r="91" spans="1:18" ht="75" x14ac:dyDescent="0.25">
      <c r="I91" s="15" t="s">
        <v>150</v>
      </c>
      <c r="J91" t="s">
        <v>39</v>
      </c>
      <c r="K91">
        <v>21.96</v>
      </c>
      <c r="L91">
        <v>129</v>
      </c>
      <c r="P91" t="str">
        <v>t</v>
      </c>
    </row>
    <row r="92" spans="1:18" ht="75" x14ac:dyDescent="0.25">
      <c r="I92" s="15" t="s">
        <v>151</v>
      </c>
      <c r="J92" t="s">
        <v>39</v>
      </c>
      <c r="K92">
        <v>19.670000000000002</v>
      </c>
      <c r="L92">
        <v>114</v>
      </c>
      <c r="P92" t="str">
        <v>t</v>
      </c>
    </row>
    <row r="93" spans="1:18" s="2" customFormat="1" ht="60" x14ac:dyDescent="0.25">
      <c r="B93" s="6"/>
      <c r="C93" s="8"/>
      <c r="I93" s="16" t="s">
        <v>152</v>
      </c>
      <c r="J93" s="2" t="s">
        <v>39</v>
      </c>
      <c r="K93" s="2">
        <v>17.510000000000002</v>
      </c>
      <c r="L93" s="2">
        <v>95</v>
      </c>
      <c r="P93" s="2" t="str">
        <v>t</v>
      </c>
      <c r="Q93" s="11"/>
    </row>
    <row r="94" spans="1:18" ht="30" x14ac:dyDescent="0.25">
      <c r="A94" t="s">
        <v>156</v>
      </c>
      <c r="B94" s="5" t="s">
        <v>157</v>
      </c>
      <c r="C94" s="1" t="s">
        <v>169</v>
      </c>
      <c r="D94" t="s">
        <v>155</v>
      </c>
      <c r="E94" t="s">
        <v>17</v>
      </c>
      <c r="F94">
        <v>57</v>
      </c>
      <c r="G94">
        <v>8</v>
      </c>
      <c r="H94" t="s">
        <v>82</v>
      </c>
      <c r="I94" s="15" t="s">
        <v>158</v>
      </c>
      <c r="J94" t="s">
        <v>39</v>
      </c>
      <c r="K94">
        <v>3.58</v>
      </c>
      <c r="L94">
        <v>19</v>
      </c>
      <c r="O94" t="str" cm="1">
        <f t="array" ref="O94:O98">J94:J98</f>
        <v>t</v>
      </c>
      <c r="R94">
        <f>COUNTIF($J94:$J104,"t")</f>
        <v>10</v>
      </c>
    </row>
    <row r="95" spans="1:18" x14ac:dyDescent="0.25">
      <c r="I95" s="15" t="s">
        <v>159</v>
      </c>
      <c r="J95" t="s">
        <v>39</v>
      </c>
      <c r="K95">
        <v>3.5</v>
      </c>
      <c r="L95">
        <v>20</v>
      </c>
      <c r="O95" t="str">
        <v>t</v>
      </c>
    </row>
    <row r="96" spans="1:18" x14ac:dyDescent="0.25">
      <c r="I96" s="15" t="s">
        <v>160</v>
      </c>
      <c r="J96" t="s">
        <v>39</v>
      </c>
      <c r="K96">
        <v>2.56</v>
      </c>
      <c r="L96">
        <v>15</v>
      </c>
      <c r="O96" t="str">
        <v>t</v>
      </c>
    </row>
    <row r="97" spans="1:18" x14ac:dyDescent="0.25">
      <c r="I97" s="15" t="s">
        <v>161</v>
      </c>
      <c r="J97" t="s">
        <v>39</v>
      </c>
      <c r="K97">
        <v>3.76</v>
      </c>
      <c r="L97">
        <v>19</v>
      </c>
      <c r="O97" t="str">
        <v>t</v>
      </c>
    </row>
    <row r="98" spans="1:18" x14ac:dyDescent="0.25">
      <c r="I98" s="15" t="s">
        <v>159</v>
      </c>
      <c r="J98" t="s">
        <v>39</v>
      </c>
      <c r="K98">
        <v>3.28</v>
      </c>
      <c r="L98">
        <v>20</v>
      </c>
      <c r="O98" t="str">
        <v>t</v>
      </c>
    </row>
    <row r="99" spans="1:18" ht="225" x14ac:dyDescent="0.25">
      <c r="C99" s="1" t="s">
        <v>170</v>
      </c>
      <c r="F99">
        <v>74</v>
      </c>
      <c r="I99" s="15" t="s">
        <v>162</v>
      </c>
      <c r="J99" t="s">
        <v>39</v>
      </c>
      <c r="K99">
        <v>29.71</v>
      </c>
      <c r="L99">
        <v>155</v>
      </c>
      <c r="P99" t="str" cm="1">
        <f t="array" ref="P99:P103">J99:J103</f>
        <v>t</v>
      </c>
    </row>
    <row r="100" spans="1:18" ht="180" x14ac:dyDescent="0.25">
      <c r="I100" s="15" t="s">
        <v>163</v>
      </c>
      <c r="J100" t="s">
        <v>39</v>
      </c>
      <c r="K100">
        <v>40.04</v>
      </c>
      <c r="L100">
        <v>231</v>
      </c>
      <c r="P100" t="str">
        <v>t</v>
      </c>
    </row>
    <row r="101" spans="1:18" ht="180" x14ac:dyDescent="0.25">
      <c r="I101" s="15" t="s">
        <v>164</v>
      </c>
      <c r="J101" t="s">
        <v>39</v>
      </c>
      <c r="K101">
        <v>38.659999999999997</v>
      </c>
      <c r="L101">
        <v>210</v>
      </c>
      <c r="P101" t="str">
        <v>t</v>
      </c>
    </row>
    <row r="102" spans="1:18" ht="240" x14ac:dyDescent="0.25">
      <c r="I102" s="15" t="s">
        <v>165</v>
      </c>
      <c r="J102" t="s">
        <v>39</v>
      </c>
      <c r="K102">
        <v>44.12</v>
      </c>
      <c r="L102">
        <v>244</v>
      </c>
      <c r="P102" t="str">
        <v>t</v>
      </c>
    </row>
    <row r="103" spans="1:18" s="2" customFormat="1" ht="165" x14ac:dyDescent="0.25">
      <c r="B103" s="6"/>
      <c r="C103" s="8"/>
      <c r="I103" s="16" t="s">
        <v>166</v>
      </c>
      <c r="J103" s="2" t="s">
        <v>39</v>
      </c>
      <c r="K103" s="2">
        <v>38.479999999999997</v>
      </c>
      <c r="L103" s="2">
        <v>193</v>
      </c>
      <c r="P103" s="2" t="str">
        <v>t</v>
      </c>
      <c r="Q103" s="11"/>
    </row>
    <row r="104" spans="1:18" ht="30" x14ac:dyDescent="0.25">
      <c r="A104" t="s">
        <v>167</v>
      </c>
      <c r="B104" s="5" t="s">
        <v>168</v>
      </c>
      <c r="C104" s="1" t="s">
        <v>180</v>
      </c>
      <c r="D104" t="s">
        <v>155</v>
      </c>
      <c r="E104" t="s">
        <v>17</v>
      </c>
      <c r="F104">
        <v>62</v>
      </c>
      <c r="G104">
        <v>7</v>
      </c>
      <c r="H104" t="s">
        <v>82</v>
      </c>
      <c r="I104" s="15" t="s">
        <v>171</v>
      </c>
      <c r="J104" t="s">
        <v>22</v>
      </c>
      <c r="K104">
        <v>3.19</v>
      </c>
      <c r="L104">
        <v>16</v>
      </c>
      <c r="O104" t="str" cm="1">
        <f t="array" ref="O104:O108">J104:J108</f>
        <v>f</v>
      </c>
      <c r="R104">
        <f>COUNTIF($J104:$J114,"t")</f>
        <v>4</v>
      </c>
    </row>
    <row r="105" spans="1:18" x14ac:dyDescent="0.25">
      <c r="I105" s="15" t="s">
        <v>172</v>
      </c>
      <c r="J105" t="s">
        <v>22</v>
      </c>
      <c r="K105">
        <v>2.62</v>
      </c>
      <c r="L105">
        <v>16</v>
      </c>
      <c r="O105" t="str">
        <v>f</v>
      </c>
    </row>
    <row r="106" spans="1:18" x14ac:dyDescent="0.25">
      <c r="I106" s="15" t="s">
        <v>173</v>
      </c>
      <c r="J106" t="s">
        <v>22</v>
      </c>
      <c r="K106">
        <v>2.91</v>
      </c>
      <c r="L106">
        <v>17</v>
      </c>
      <c r="O106" t="str">
        <v>f</v>
      </c>
    </row>
    <row r="107" spans="1:18" x14ac:dyDescent="0.25">
      <c r="I107" s="15" t="s">
        <v>174</v>
      </c>
      <c r="J107" t="s">
        <v>39</v>
      </c>
      <c r="K107">
        <v>2.87</v>
      </c>
      <c r="L107">
        <v>16</v>
      </c>
      <c r="O107" t="str">
        <v>t</v>
      </c>
    </row>
    <row r="108" spans="1:18" x14ac:dyDescent="0.25">
      <c r="I108" s="15" t="s">
        <v>173</v>
      </c>
      <c r="J108" t="s">
        <v>22</v>
      </c>
      <c r="K108">
        <v>3.59</v>
      </c>
      <c r="L108">
        <v>17</v>
      </c>
      <c r="O108" t="str">
        <v>f</v>
      </c>
    </row>
    <row r="109" spans="1:18" ht="90" x14ac:dyDescent="0.25">
      <c r="C109" s="1" t="s">
        <v>189</v>
      </c>
      <c r="F109">
        <v>79</v>
      </c>
      <c r="I109" s="15" t="s">
        <v>175</v>
      </c>
      <c r="J109" t="s">
        <v>39</v>
      </c>
      <c r="K109">
        <v>21.66</v>
      </c>
      <c r="L109">
        <v>125</v>
      </c>
      <c r="P109" t="str" cm="1">
        <f t="array" ref="P109:P113">J109:J113</f>
        <v>t</v>
      </c>
    </row>
    <row r="110" spans="1:18" ht="90" x14ac:dyDescent="0.25">
      <c r="I110" s="15" t="s">
        <v>176</v>
      </c>
      <c r="J110" t="s">
        <v>22</v>
      </c>
      <c r="K110">
        <v>24.14</v>
      </c>
      <c r="L110">
        <v>130</v>
      </c>
      <c r="P110" t="str">
        <v>f</v>
      </c>
    </row>
    <row r="111" spans="1:18" ht="75" x14ac:dyDescent="0.25">
      <c r="I111" s="15" t="s">
        <v>177</v>
      </c>
      <c r="J111" t="s">
        <v>39</v>
      </c>
      <c r="K111">
        <v>18.7</v>
      </c>
      <c r="L111">
        <v>100</v>
      </c>
      <c r="P111" t="str">
        <v>t</v>
      </c>
    </row>
    <row r="112" spans="1:18" ht="165" x14ac:dyDescent="0.25">
      <c r="I112" s="15" t="s">
        <v>178</v>
      </c>
      <c r="J112" t="s">
        <v>22</v>
      </c>
      <c r="K112">
        <v>28.95</v>
      </c>
      <c r="L112">
        <v>152</v>
      </c>
      <c r="P112" t="str">
        <v>f</v>
      </c>
    </row>
    <row r="113" spans="1:19" s="2" customFormat="1" ht="90" x14ac:dyDescent="0.25">
      <c r="B113" s="6"/>
      <c r="C113" s="8"/>
      <c r="I113" s="16" t="s">
        <v>179</v>
      </c>
      <c r="J113" s="2" t="s">
        <v>22</v>
      </c>
      <c r="K113" s="2">
        <v>26.13</v>
      </c>
      <c r="L113" s="2">
        <v>139</v>
      </c>
      <c r="P113" s="2" t="str">
        <v>f</v>
      </c>
      <c r="Q113" s="11"/>
    </row>
    <row r="114" spans="1:19" ht="30" x14ac:dyDescent="0.25">
      <c r="A114" t="s">
        <v>182</v>
      </c>
      <c r="B114" s="5" t="s">
        <v>183</v>
      </c>
      <c r="C114" s="1" t="s">
        <v>196</v>
      </c>
      <c r="D114" t="s">
        <v>181</v>
      </c>
      <c r="E114" t="s">
        <v>17</v>
      </c>
      <c r="F114">
        <v>74</v>
      </c>
      <c r="G114">
        <v>4</v>
      </c>
      <c r="H114" t="s">
        <v>82</v>
      </c>
      <c r="I114" s="15" t="s">
        <v>184</v>
      </c>
      <c r="J114" t="s">
        <v>39</v>
      </c>
      <c r="K114">
        <v>7.16</v>
      </c>
      <c r="L114">
        <v>40</v>
      </c>
      <c r="O114" t="str" cm="1">
        <f t="array" ref="O114:O118">J114:J118</f>
        <v>t</v>
      </c>
      <c r="R114">
        <f>COUNTIF($J114:$J124,"t")</f>
        <v>9</v>
      </c>
    </row>
    <row r="115" spans="1:19" ht="30" x14ac:dyDescent="0.25">
      <c r="I115" s="15" t="s">
        <v>185</v>
      </c>
      <c r="J115" t="s">
        <v>22</v>
      </c>
      <c r="K115">
        <v>7.53</v>
      </c>
      <c r="L115">
        <v>45</v>
      </c>
      <c r="O115" t="str">
        <v>f</v>
      </c>
    </row>
    <row r="116" spans="1:19" ht="60" x14ac:dyDescent="0.25">
      <c r="I116" s="15" t="s">
        <v>186</v>
      </c>
      <c r="J116" t="s">
        <v>39</v>
      </c>
      <c r="K116">
        <v>13.88</v>
      </c>
      <c r="L116">
        <v>188</v>
      </c>
      <c r="O116" t="str">
        <v>t</v>
      </c>
    </row>
    <row r="117" spans="1:19" ht="30" x14ac:dyDescent="0.25">
      <c r="I117" s="15" t="s">
        <v>187</v>
      </c>
      <c r="J117" t="s">
        <v>39</v>
      </c>
      <c r="K117">
        <v>5.39</v>
      </c>
      <c r="L117">
        <v>31</v>
      </c>
      <c r="O117" t="str">
        <v>t</v>
      </c>
    </row>
    <row r="118" spans="1:19" ht="30" x14ac:dyDescent="0.25">
      <c r="I118" s="15" t="s">
        <v>188</v>
      </c>
      <c r="J118" t="s">
        <v>39</v>
      </c>
      <c r="K118">
        <v>4.91</v>
      </c>
      <c r="L118">
        <v>135</v>
      </c>
      <c r="O118" t="str">
        <v>t</v>
      </c>
    </row>
    <row r="119" spans="1:19" ht="90" x14ac:dyDescent="0.25">
      <c r="C119" s="1" t="s">
        <v>204</v>
      </c>
      <c r="F119">
        <v>91</v>
      </c>
      <c r="I119" s="15" t="s">
        <v>190</v>
      </c>
      <c r="J119" t="s">
        <v>39</v>
      </c>
      <c r="K119">
        <v>23.65</v>
      </c>
      <c r="L119">
        <v>124</v>
      </c>
      <c r="P119" t="str" cm="1">
        <f t="array" ref="P119:P123">J119:J123</f>
        <v>t</v>
      </c>
    </row>
    <row r="120" spans="1:19" ht="210" x14ac:dyDescent="0.25">
      <c r="I120" s="15" t="s">
        <v>191</v>
      </c>
      <c r="J120" t="s">
        <v>39</v>
      </c>
      <c r="K120">
        <v>57.29</v>
      </c>
      <c r="L120">
        <v>304</v>
      </c>
      <c r="P120" t="str">
        <v>t</v>
      </c>
    </row>
    <row r="121" spans="1:19" ht="120" x14ac:dyDescent="0.25">
      <c r="I121" s="15" t="s">
        <v>192</v>
      </c>
      <c r="J121" t="s">
        <v>39</v>
      </c>
      <c r="K121">
        <v>32.29</v>
      </c>
      <c r="L121">
        <v>189</v>
      </c>
      <c r="P121" t="str">
        <v>t</v>
      </c>
    </row>
    <row r="122" spans="1:19" ht="135" x14ac:dyDescent="0.25">
      <c r="I122" s="15" t="s">
        <v>193</v>
      </c>
      <c r="J122" t="s">
        <v>22</v>
      </c>
      <c r="K122">
        <v>40.72</v>
      </c>
      <c r="L122">
        <v>217</v>
      </c>
      <c r="P122" t="str">
        <v>f</v>
      </c>
    </row>
    <row r="123" spans="1:19" s="2" customFormat="1" ht="165" x14ac:dyDescent="0.25">
      <c r="B123" s="6"/>
      <c r="C123" s="8"/>
      <c r="I123" s="16" t="s">
        <v>194</v>
      </c>
      <c r="J123" s="2" t="s">
        <v>39</v>
      </c>
      <c r="K123" s="2">
        <v>40.33</v>
      </c>
      <c r="L123" s="2">
        <v>235</v>
      </c>
      <c r="P123" s="2" t="str">
        <v>t</v>
      </c>
      <c r="Q123" s="11"/>
    </row>
    <row r="124" spans="1:19" ht="75" x14ac:dyDescent="0.25">
      <c r="A124" t="s">
        <v>197</v>
      </c>
      <c r="B124" s="5" t="s">
        <v>198</v>
      </c>
      <c r="C124" s="1" t="s">
        <v>219</v>
      </c>
      <c r="D124" t="s">
        <v>181</v>
      </c>
      <c r="E124" t="s">
        <v>195</v>
      </c>
      <c r="F124">
        <v>77</v>
      </c>
      <c r="G124">
        <v>3</v>
      </c>
      <c r="H124" t="s">
        <v>18</v>
      </c>
      <c r="I124" s="15" t="s">
        <v>199</v>
      </c>
      <c r="J124" t="s">
        <v>39</v>
      </c>
      <c r="K124">
        <v>19.57</v>
      </c>
      <c r="L124">
        <v>105</v>
      </c>
      <c r="O124" t="str" cm="1">
        <f t="array" ref="O124:O128">J124:J128</f>
        <v>t</v>
      </c>
      <c r="S124">
        <f>COUNTIF($J124:$J134,"t")</f>
        <v>3</v>
      </c>
    </row>
    <row r="125" spans="1:19" ht="30" x14ac:dyDescent="0.25">
      <c r="I125" s="15" t="s">
        <v>200</v>
      </c>
      <c r="J125" t="s">
        <v>22</v>
      </c>
      <c r="K125">
        <v>5.32</v>
      </c>
      <c r="L125">
        <v>29</v>
      </c>
      <c r="O125" t="str">
        <v>f</v>
      </c>
    </row>
    <row r="126" spans="1:19" ht="30" x14ac:dyDescent="0.25">
      <c r="I126" s="15" t="s">
        <v>201</v>
      </c>
      <c r="J126" t="s">
        <v>22</v>
      </c>
      <c r="K126">
        <v>6.11</v>
      </c>
      <c r="L126">
        <v>36</v>
      </c>
      <c r="O126" t="str">
        <v>f</v>
      </c>
    </row>
    <row r="127" spans="1:19" ht="45" x14ac:dyDescent="0.25">
      <c r="I127" s="15" t="s">
        <v>202</v>
      </c>
      <c r="J127" t="s">
        <v>39</v>
      </c>
      <c r="K127">
        <v>9.2100000000000009</v>
      </c>
      <c r="L127">
        <v>52</v>
      </c>
      <c r="O127" t="str">
        <v>t</v>
      </c>
    </row>
    <row r="128" spans="1:19" ht="30" x14ac:dyDescent="0.25">
      <c r="I128" s="15" t="s">
        <v>203</v>
      </c>
      <c r="J128" t="s">
        <v>22</v>
      </c>
      <c r="K128">
        <v>5.5</v>
      </c>
      <c r="L128">
        <v>32</v>
      </c>
      <c r="O128" t="str">
        <v>f</v>
      </c>
    </row>
    <row r="129" spans="1:20" ht="120" x14ac:dyDescent="0.25">
      <c r="C129" s="1" t="s">
        <v>212</v>
      </c>
      <c r="F129">
        <v>94</v>
      </c>
      <c r="I129" s="15" t="s">
        <v>205</v>
      </c>
      <c r="J129" t="s">
        <v>22</v>
      </c>
      <c r="K129">
        <v>30.09</v>
      </c>
      <c r="L129">
        <v>176</v>
      </c>
      <c r="P129" t="str" cm="1">
        <f t="array" ref="P129:P133">J129:J133</f>
        <v>f</v>
      </c>
    </row>
    <row r="130" spans="1:20" ht="120" x14ac:dyDescent="0.25">
      <c r="I130" s="15" t="s">
        <v>206</v>
      </c>
      <c r="J130" t="s">
        <v>22</v>
      </c>
      <c r="K130">
        <v>31.19</v>
      </c>
      <c r="L130">
        <v>179</v>
      </c>
      <c r="P130" t="str">
        <v>f</v>
      </c>
    </row>
    <row r="131" spans="1:20" ht="360" x14ac:dyDescent="0.25">
      <c r="I131" s="15" t="s">
        <v>207</v>
      </c>
      <c r="J131" t="s">
        <v>22</v>
      </c>
      <c r="K131">
        <v>67.73</v>
      </c>
      <c r="L131">
        <v>380</v>
      </c>
      <c r="P131" t="str">
        <v>f</v>
      </c>
    </row>
    <row r="132" spans="1:20" ht="120" x14ac:dyDescent="0.25">
      <c r="I132" s="15" t="s">
        <v>208</v>
      </c>
      <c r="J132" t="s">
        <v>22</v>
      </c>
      <c r="K132">
        <v>34.79</v>
      </c>
      <c r="L132">
        <v>182</v>
      </c>
      <c r="P132" t="str">
        <v>f</v>
      </c>
    </row>
    <row r="133" spans="1:20" s="2" customFormat="1" ht="225" x14ac:dyDescent="0.25">
      <c r="B133" s="6"/>
      <c r="C133" s="8"/>
      <c r="I133" s="16" t="s">
        <v>209</v>
      </c>
      <c r="J133" s="2" t="s">
        <v>22</v>
      </c>
      <c r="K133" s="2">
        <v>48.12</v>
      </c>
      <c r="L133" s="2">
        <v>249</v>
      </c>
      <c r="P133" s="2" t="str">
        <v>f</v>
      </c>
      <c r="Q133" s="11"/>
    </row>
    <row r="134" spans="1:20" ht="30" x14ac:dyDescent="0.25">
      <c r="A134" t="s">
        <v>210</v>
      </c>
      <c r="B134" s="5" t="s">
        <v>211</v>
      </c>
      <c r="C134" s="1" t="s">
        <v>227</v>
      </c>
      <c r="D134" t="s">
        <v>181</v>
      </c>
      <c r="E134" t="s">
        <v>213</v>
      </c>
      <c r="F134">
        <v>149</v>
      </c>
      <c r="G134">
        <v>3</v>
      </c>
      <c r="H134" t="s">
        <v>18</v>
      </c>
      <c r="I134" s="15" t="s">
        <v>214</v>
      </c>
      <c r="J134" t="s">
        <v>39</v>
      </c>
      <c r="K134">
        <v>5.12</v>
      </c>
      <c r="L134">
        <v>27</v>
      </c>
      <c r="O134" t="str" cm="1">
        <f t="array" ref="O134:O138">J134:J138</f>
        <v>t</v>
      </c>
      <c r="T134">
        <f>COUNTIF($J134:$J144,"t")</f>
        <v>4</v>
      </c>
    </row>
    <row r="135" spans="1:20" ht="30" x14ac:dyDescent="0.25">
      <c r="A135" s="5"/>
      <c r="I135" s="15" t="s">
        <v>215</v>
      </c>
      <c r="J135" t="s">
        <v>22</v>
      </c>
      <c r="K135">
        <v>6.22</v>
      </c>
      <c r="L135">
        <v>34</v>
      </c>
      <c r="O135" t="str">
        <v>f</v>
      </c>
    </row>
    <row r="136" spans="1:20" ht="30" x14ac:dyDescent="0.25">
      <c r="A136" s="5"/>
      <c r="I136" s="15" t="s">
        <v>216</v>
      </c>
      <c r="J136" t="s">
        <v>22</v>
      </c>
      <c r="K136">
        <v>7.95</v>
      </c>
      <c r="L136">
        <v>45</v>
      </c>
      <c r="O136" t="str">
        <v>f</v>
      </c>
    </row>
    <row r="137" spans="1:20" ht="30" x14ac:dyDescent="0.25">
      <c r="A137" s="5"/>
      <c r="I137" s="15" t="s">
        <v>217</v>
      </c>
      <c r="J137" t="s">
        <v>22</v>
      </c>
      <c r="K137">
        <v>4.75</v>
      </c>
      <c r="L137">
        <v>29</v>
      </c>
      <c r="O137" t="str">
        <v>f</v>
      </c>
    </row>
    <row r="138" spans="1:20" ht="45" x14ac:dyDescent="0.25">
      <c r="A138" s="5"/>
      <c r="I138" s="15" t="s">
        <v>218</v>
      </c>
      <c r="J138" t="s">
        <v>39</v>
      </c>
      <c r="K138">
        <v>9.64</v>
      </c>
      <c r="L138">
        <v>53</v>
      </c>
      <c r="O138" t="str">
        <v>t</v>
      </c>
    </row>
    <row r="139" spans="1:20" ht="105" x14ac:dyDescent="0.25">
      <c r="A139" s="5"/>
      <c r="C139" s="1" t="s">
        <v>233</v>
      </c>
      <c r="F139">
        <v>166</v>
      </c>
      <c r="I139" s="15" t="s">
        <v>220</v>
      </c>
      <c r="J139" t="s">
        <v>22</v>
      </c>
      <c r="K139">
        <v>31.03</v>
      </c>
      <c r="L139">
        <v>156</v>
      </c>
      <c r="P139" t="str" cm="1">
        <f t="array" ref="P139:P143">J139:J143</f>
        <v>f</v>
      </c>
    </row>
    <row r="140" spans="1:20" ht="105" x14ac:dyDescent="0.25">
      <c r="A140" s="5"/>
      <c r="I140" s="15" t="s">
        <v>221</v>
      </c>
      <c r="J140" t="s">
        <v>39</v>
      </c>
      <c r="K140">
        <v>25.03</v>
      </c>
      <c r="L140">
        <v>144</v>
      </c>
      <c r="P140" t="str">
        <v>t</v>
      </c>
    </row>
    <row r="141" spans="1:20" ht="165" x14ac:dyDescent="0.25">
      <c r="A141" s="5"/>
      <c r="I141" s="15" t="s">
        <v>222</v>
      </c>
      <c r="J141" t="s">
        <v>22</v>
      </c>
      <c r="K141">
        <v>34.51</v>
      </c>
      <c r="L141">
        <v>201</v>
      </c>
      <c r="P141" t="str">
        <v>f</v>
      </c>
    </row>
    <row r="142" spans="1:20" ht="120" x14ac:dyDescent="0.25">
      <c r="A142" s="5"/>
      <c r="I142" s="15" t="s">
        <v>223</v>
      </c>
      <c r="J142" t="s">
        <v>22</v>
      </c>
      <c r="K142">
        <v>33.31</v>
      </c>
      <c r="L142">
        <v>197</v>
      </c>
      <c r="P142" t="str">
        <v>f</v>
      </c>
    </row>
    <row r="143" spans="1:20" s="2" customFormat="1" ht="135" x14ac:dyDescent="0.25">
      <c r="A143" s="6"/>
      <c r="B143" s="6"/>
      <c r="C143" s="8"/>
      <c r="I143" s="16" t="s">
        <v>224</v>
      </c>
      <c r="J143" s="2" t="s">
        <v>22</v>
      </c>
      <c r="K143" s="2">
        <v>35.1</v>
      </c>
      <c r="L143" s="2">
        <v>199</v>
      </c>
      <c r="P143" s="2" t="str">
        <v>f</v>
      </c>
      <c r="Q143" s="11"/>
    </row>
    <row r="144" spans="1:20" ht="30" x14ac:dyDescent="0.25">
      <c r="A144" t="s">
        <v>225</v>
      </c>
      <c r="B144" s="5" t="s">
        <v>226</v>
      </c>
      <c r="C144" s="1" t="s">
        <v>239</v>
      </c>
      <c r="D144" t="s">
        <v>181</v>
      </c>
      <c r="E144" t="s">
        <v>17</v>
      </c>
      <c r="F144">
        <v>105</v>
      </c>
      <c r="G144">
        <v>4</v>
      </c>
      <c r="H144" t="s">
        <v>18</v>
      </c>
      <c r="I144" s="15" t="s">
        <v>228</v>
      </c>
      <c r="J144" t="s">
        <v>39</v>
      </c>
      <c r="K144">
        <v>8.1999999999999993</v>
      </c>
      <c r="L144">
        <v>45</v>
      </c>
      <c r="O144" t="str" cm="1">
        <f t="array" ref="O144:O148">J144:J148</f>
        <v>t</v>
      </c>
      <c r="R144">
        <f>COUNTIF($J144:$J154,"t")</f>
        <v>7</v>
      </c>
    </row>
    <row r="145" spans="1:18" ht="45" x14ac:dyDescent="0.25">
      <c r="A145" s="5"/>
      <c r="I145" s="15" t="s">
        <v>229</v>
      </c>
      <c r="J145" t="s">
        <v>39</v>
      </c>
      <c r="K145">
        <v>12.67</v>
      </c>
      <c r="L145">
        <v>67</v>
      </c>
      <c r="O145" t="str">
        <v>t</v>
      </c>
    </row>
    <row r="146" spans="1:18" ht="45" x14ac:dyDescent="0.25">
      <c r="A146" s="5"/>
      <c r="I146" s="15" t="s">
        <v>230</v>
      </c>
      <c r="J146" t="s">
        <v>39</v>
      </c>
      <c r="K146">
        <v>9.69</v>
      </c>
      <c r="L146">
        <v>52</v>
      </c>
      <c r="O146" t="str">
        <v>t</v>
      </c>
    </row>
    <row r="147" spans="1:18" ht="45" x14ac:dyDescent="0.25">
      <c r="A147" s="5"/>
      <c r="I147" s="15" t="s">
        <v>231</v>
      </c>
      <c r="J147" t="s">
        <v>39</v>
      </c>
      <c r="K147">
        <v>8.86</v>
      </c>
      <c r="L147">
        <v>50</v>
      </c>
      <c r="O147" t="str">
        <v>t</v>
      </c>
    </row>
    <row r="148" spans="1:18" x14ac:dyDescent="0.25">
      <c r="I148" s="15" t="s">
        <v>232</v>
      </c>
      <c r="J148" t="s">
        <v>39</v>
      </c>
      <c r="K148">
        <v>3.19</v>
      </c>
      <c r="L148">
        <v>17</v>
      </c>
      <c r="O148" t="str">
        <v>t</v>
      </c>
    </row>
    <row r="149" spans="1:18" ht="105" x14ac:dyDescent="0.25">
      <c r="C149" s="1" t="s">
        <v>240</v>
      </c>
      <c r="F149">
        <v>122</v>
      </c>
      <c r="I149" s="15" t="s">
        <v>234</v>
      </c>
      <c r="J149" t="s">
        <v>22</v>
      </c>
      <c r="K149">
        <v>24.72</v>
      </c>
      <c r="L149">
        <v>126</v>
      </c>
      <c r="P149" t="str" cm="1">
        <f t="array" ref="P149:P153">J149:J153</f>
        <v>f</v>
      </c>
    </row>
    <row r="150" spans="1:18" ht="90" x14ac:dyDescent="0.25">
      <c r="I150" s="15" t="s">
        <v>235</v>
      </c>
      <c r="J150" t="s">
        <v>39</v>
      </c>
      <c r="K150">
        <v>24.14</v>
      </c>
      <c r="L150">
        <v>128</v>
      </c>
      <c r="P150" t="str">
        <v>t</v>
      </c>
    </row>
    <row r="151" spans="1:18" ht="75" x14ac:dyDescent="0.25">
      <c r="I151" s="15" t="s">
        <v>236</v>
      </c>
      <c r="J151" t="s">
        <v>22</v>
      </c>
      <c r="K151">
        <v>18.72</v>
      </c>
      <c r="L151">
        <v>113</v>
      </c>
      <c r="P151" t="str">
        <v>f</v>
      </c>
    </row>
    <row r="152" spans="1:18" ht="105" x14ac:dyDescent="0.25">
      <c r="I152" s="15" t="s">
        <v>237</v>
      </c>
      <c r="J152" t="s">
        <v>22</v>
      </c>
      <c r="K152">
        <v>26.66</v>
      </c>
      <c r="L152">
        <v>156</v>
      </c>
      <c r="P152" t="str">
        <v>f</v>
      </c>
    </row>
    <row r="153" spans="1:18" s="2" customFormat="1" ht="90" x14ac:dyDescent="0.25">
      <c r="B153" s="6"/>
      <c r="C153" s="8"/>
      <c r="I153" s="16" t="s">
        <v>238</v>
      </c>
      <c r="J153" s="2" t="s">
        <v>22</v>
      </c>
      <c r="K153" s="2">
        <v>23.99</v>
      </c>
      <c r="L153" s="2">
        <v>128</v>
      </c>
      <c r="P153" s="2" t="str">
        <v>f</v>
      </c>
      <c r="Q153" s="11"/>
    </row>
    <row r="154" spans="1:18" ht="30" x14ac:dyDescent="0.25">
      <c r="A154" t="s">
        <v>247</v>
      </c>
      <c r="B154" t="s">
        <v>248</v>
      </c>
      <c r="C154" s="1" t="s">
        <v>241</v>
      </c>
      <c r="D154" t="s">
        <v>249</v>
      </c>
      <c r="E154" t="s">
        <v>257</v>
      </c>
      <c r="F154">
        <v>83</v>
      </c>
      <c r="G154">
        <v>11</v>
      </c>
      <c r="H154" t="s">
        <v>82</v>
      </c>
      <c r="I154" s="15" t="s">
        <v>251</v>
      </c>
      <c r="J154" t="s">
        <v>39</v>
      </c>
      <c r="K154">
        <v>6.3</v>
      </c>
      <c r="L154">
        <v>35</v>
      </c>
      <c r="O154" t="str" cm="1">
        <f t="array" ref="O154:O158">J154:J158</f>
        <v>t</v>
      </c>
      <c r="R154">
        <f>COUNTIF($J154:$J164,"t")</f>
        <v>10</v>
      </c>
    </row>
    <row r="155" spans="1:18" ht="30" x14ac:dyDescent="0.25">
      <c r="I155" s="15" t="s">
        <v>252</v>
      </c>
      <c r="J155" t="s">
        <v>39</v>
      </c>
      <c r="K155">
        <v>8.1300000000000008</v>
      </c>
      <c r="L155">
        <v>44</v>
      </c>
      <c r="O155" t="str">
        <v>t</v>
      </c>
    </row>
    <row r="156" spans="1:18" ht="30" x14ac:dyDescent="0.25">
      <c r="I156" s="15" t="s">
        <v>253</v>
      </c>
      <c r="J156" t="s">
        <v>39</v>
      </c>
      <c r="K156">
        <v>5.84</v>
      </c>
      <c r="L156">
        <v>34</v>
      </c>
      <c r="O156" t="str">
        <v>t</v>
      </c>
    </row>
    <row r="157" spans="1:18" ht="30" x14ac:dyDescent="0.25">
      <c r="I157" s="15" t="s">
        <v>254</v>
      </c>
      <c r="J157" t="s">
        <v>39</v>
      </c>
      <c r="K157">
        <v>5.99</v>
      </c>
      <c r="L157">
        <v>34</v>
      </c>
      <c r="O157" t="str">
        <v>t</v>
      </c>
    </row>
    <row r="158" spans="1:18" ht="30" x14ac:dyDescent="0.25">
      <c r="I158" s="15" t="s">
        <v>255</v>
      </c>
      <c r="J158" t="s">
        <v>39</v>
      </c>
      <c r="K158">
        <v>6.63</v>
      </c>
      <c r="L158">
        <v>38</v>
      </c>
      <c r="O158" t="str">
        <v>t</v>
      </c>
    </row>
    <row r="159" spans="1:18" ht="225" x14ac:dyDescent="0.25">
      <c r="C159" s="1" t="s">
        <v>242</v>
      </c>
      <c r="F159">
        <v>100</v>
      </c>
      <c r="I159" s="15" t="s">
        <v>256</v>
      </c>
      <c r="J159" t="s">
        <v>39</v>
      </c>
      <c r="K159">
        <v>20.68</v>
      </c>
      <c r="L159">
        <v>122</v>
      </c>
      <c r="P159" t="str" cm="1">
        <f t="array" ref="P159:P163">J159:J163</f>
        <v>t</v>
      </c>
    </row>
    <row r="160" spans="1:18" ht="135" x14ac:dyDescent="0.25">
      <c r="I160" s="15" t="s">
        <v>258</v>
      </c>
      <c r="J160" t="s">
        <v>39</v>
      </c>
      <c r="K160">
        <v>34.49</v>
      </c>
      <c r="L160">
        <v>175</v>
      </c>
      <c r="P160" t="str">
        <v>t</v>
      </c>
    </row>
    <row r="161" spans="1:19" ht="270" x14ac:dyDescent="0.25">
      <c r="I161" s="15" t="s">
        <v>259</v>
      </c>
      <c r="J161" t="s">
        <v>39</v>
      </c>
      <c r="K161">
        <v>47.43</v>
      </c>
      <c r="L161">
        <v>267</v>
      </c>
      <c r="P161" t="str">
        <v>t</v>
      </c>
    </row>
    <row r="162" spans="1:19" ht="90" x14ac:dyDescent="0.25">
      <c r="I162" s="15" t="s">
        <v>260</v>
      </c>
      <c r="J162" t="s">
        <v>39</v>
      </c>
      <c r="K162">
        <v>25.43</v>
      </c>
      <c r="L162">
        <v>135</v>
      </c>
      <c r="P162" t="str">
        <v>t</v>
      </c>
    </row>
    <row r="163" spans="1:19" s="2" customFormat="1" ht="75" x14ac:dyDescent="0.25">
      <c r="B163" s="6"/>
      <c r="C163" s="8"/>
      <c r="I163" s="16" t="s">
        <v>261</v>
      </c>
      <c r="J163" s="2" t="s">
        <v>39</v>
      </c>
      <c r="K163" s="2">
        <v>20.22</v>
      </c>
      <c r="L163" s="2">
        <v>254</v>
      </c>
      <c r="P163" s="2" t="str">
        <v>t</v>
      </c>
      <c r="Q163" s="11"/>
    </row>
    <row r="164" spans="1:19" ht="30" x14ac:dyDescent="0.25">
      <c r="A164" t="s">
        <v>356</v>
      </c>
      <c r="B164" t="s">
        <v>248</v>
      </c>
      <c r="C164" s="1" t="s">
        <v>243</v>
      </c>
      <c r="D164" t="s">
        <v>249</v>
      </c>
      <c r="E164" t="s">
        <v>250</v>
      </c>
      <c r="F164">
        <v>83</v>
      </c>
      <c r="G164">
        <v>11</v>
      </c>
      <c r="H164" t="s">
        <v>18</v>
      </c>
      <c r="I164" s="15" t="s">
        <v>267</v>
      </c>
      <c r="J164" t="s">
        <v>22</v>
      </c>
      <c r="K164">
        <v>6.36</v>
      </c>
      <c r="L164">
        <v>35</v>
      </c>
      <c r="O164" t="str" cm="1">
        <f t="array" ref="O164:O168">J164:J168</f>
        <v>f</v>
      </c>
      <c r="S164">
        <f>COUNTIF($J164:$J174,"t")</f>
        <v>1</v>
      </c>
    </row>
    <row r="165" spans="1:19" x14ac:dyDescent="0.25">
      <c r="I165" s="15" t="s">
        <v>268</v>
      </c>
      <c r="J165" t="s">
        <v>22</v>
      </c>
      <c r="K165">
        <v>4.3099999999999996</v>
      </c>
      <c r="L165">
        <v>22</v>
      </c>
      <c r="O165" t="str">
        <v>f</v>
      </c>
    </row>
    <row r="166" spans="1:19" ht="30" x14ac:dyDescent="0.25">
      <c r="I166" s="15" t="s">
        <v>269</v>
      </c>
      <c r="J166" t="s">
        <v>22</v>
      </c>
      <c r="K166">
        <v>9.08</v>
      </c>
      <c r="L166">
        <v>54</v>
      </c>
      <c r="O166" t="str">
        <v>f</v>
      </c>
    </row>
    <row r="167" spans="1:19" ht="30" x14ac:dyDescent="0.25">
      <c r="I167" s="15" t="s">
        <v>270</v>
      </c>
      <c r="J167" t="s">
        <v>22</v>
      </c>
      <c r="K167">
        <v>7.77</v>
      </c>
      <c r="L167">
        <v>44</v>
      </c>
      <c r="O167" t="str">
        <v>f</v>
      </c>
    </row>
    <row r="168" spans="1:19" ht="30" x14ac:dyDescent="0.25">
      <c r="I168" s="15" t="s">
        <v>271</v>
      </c>
      <c r="J168" t="s">
        <v>22</v>
      </c>
      <c r="K168">
        <v>6.53</v>
      </c>
      <c r="L168">
        <v>38</v>
      </c>
      <c r="O168" t="str">
        <v>f</v>
      </c>
    </row>
    <row r="169" spans="1:19" ht="105" x14ac:dyDescent="0.25">
      <c r="C169" s="1" t="s">
        <v>244</v>
      </c>
      <c r="F169">
        <v>100</v>
      </c>
      <c r="I169" s="15" t="s">
        <v>262</v>
      </c>
      <c r="J169" t="s">
        <v>22</v>
      </c>
      <c r="K169">
        <v>24.22</v>
      </c>
      <c r="L169">
        <v>139</v>
      </c>
      <c r="P169" t="str" cm="1">
        <f t="array" ref="P169:P173">J169:J173</f>
        <v>f</v>
      </c>
    </row>
    <row r="170" spans="1:19" ht="75" x14ac:dyDescent="0.25">
      <c r="I170" s="15" t="s">
        <v>263</v>
      </c>
      <c r="J170" t="s">
        <v>22</v>
      </c>
      <c r="K170">
        <v>18.45</v>
      </c>
      <c r="L170">
        <v>99</v>
      </c>
      <c r="P170" t="str">
        <v>f</v>
      </c>
    </row>
    <row r="171" spans="1:19" ht="120" x14ac:dyDescent="0.25">
      <c r="I171" s="15" t="s">
        <v>264</v>
      </c>
      <c r="J171" t="s">
        <v>22</v>
      </c>
      <c r="K171">
        <v>27.98</v>
      </c>
      <c r="L171">
        <v>153</v>
      </c>
      <c r="P171" t="str">
        <v>f</v>
      </c>
    </row>
    <row r="172" spans="1:19" ht="60" x14ac:dyDescent="0.25">
      <c r="I172" s="15" t="s">
        <v>265</v>
      </c>
      <c r="J172" t="s">
        <v>22</v>
      </c>
      <c r="K172">
        <v>13.81</v>
      </c>
      <c r="L172">
        <v>79</v>
      </c>
      <c r="P172" t="str">
        <v>f</v>
      </c>
    </row>
    <row r="173" spans="1:19" s="2" customFormat="1" ht="60" x14ac:dyDescent="0.25">
      <c r="B173" s="6"/>
      <c r="C173" s="8"/>
      <c r="I173" s="16" t="s">
        <v>266</v>
      </c>
      <c r="J173" s="2" t="s">
        <v>22</v>
      </c>
      <c r="K173" s="2">
        <v>15.56</v>
      </c>
      <c r="L173" s="2">
        <v>92</v>
      </c>
      <c r="P173" s="2" t="str">
        <v>f</v>
      </c>
      <c r="Q173" s="11"/>
    </row>
    <row r="174" spans="1:19" x14ac:dyDescent="0.25">
      <c r="A174" t="s">
        <v>272</v>
      </c>
      <c r="B174" s="5" t="s">
        <v>273</v>
      </c>
      <c r="C174" s="1" t="s">
        <v>245</v>
      </c>
      <c r="D174" t="s">
        <v>249</v>
      </c>
      <c r="E174" t="s">
        <v>250</v>
      </c>
      <c r="F174">
        <v>77</v>
      </c>
      <c r="G174">
        <v>6</v>
      </c>
      <c r="H174" t="s">
        <v>18</v>
      </c>
      <c r="I174" s="15" t="s">
        <v>274</v>
      </c>
      <c r="J174" t="s">
        <v>39</v>
      </c>
      <c r="K174">
        <v>3.91</v>
      </c>
      <c r="L174">
        <v>20</v>
      </c>
      <c r="O174" t="str" cm="1">
        <f t="array" ref="O174:O178">J174:J178</f>
        <v>t</v>
      </c>
      <c r="S174">
        <f>COUNTIF($J174:$J184,"t")</f>
        <v>9</v>
      </c>
    </row>
    <row r="175" spans="1:19" ht="45" x14ac:dyDescent="0.25">
      <c r="I175" s="15" t="s">
        <v>275</v>
      </c>
      <c r="J175" t="s">
        <v>39</v>
      </c>
      <c r="K175">
        <v>13.22</v>
      </c>
      <c r="L175">
        <v>77</v>
      </c>
      <c r="O175" t="str">
        <v>t</v>
      </c>
    </row>
    <row r="176" spans="1:19" x14ac:dyDescent="0.25">
      <c r="I176" s="15" t="s">
        <v>274</v>
      </c>
      <c r="J176" t="s">
        <v>39</v>
      </c>
      <c r="K176">
        <v>3.35</v>
      </c>
      <c r="L176">
        <v>20</v>
      </c>
      <c r="O176" t="str">
        <v>t</v>
      </c>
    </row>
    <row r="177" spans="1:20" ht="30" x14ac:dyDescent="0.25">
      <c r="I177" s="15" t="s">
        <v>276</v>
      </c>
      <c r="J177" t="s">
        <v>39</v>
      </c>
      <c r="K177">
        <v>10</v>
      </c>
      <c r="L177">
        <v>56</v>
      </c>
      <c r="O177" t="str">
        <v>t</v>
      </c>
    </row>
    <row r="178" spans="1:20" ht="45" x14ac:dyDescent="0.25">
      <c r="I178" s="15" t="s">
        <v>277</v>
      </c>
      <c r="J178" t="s">
        <v>39</v>
      </c>
      <c r="K178">
        <v>12.17</v>
      </c>
      <c r="L178">
        <v>72</v>
      </c>
      <c r="O178" t="str">
        <v>t</v>
      </c>
    </row>
    <row r="179" spans="1:20" ht="195" x14ac:dyDescent="0.25">
      <c r="C179" s="1" t="s">
        <v>246</v>
      </c>
      <c r="F179">
        <v>94</v>
      </c>
      <c r="I179" s="15" t="s">
        <v>278</v>
      </c>
      <c r="J179" t="s">
        <v>39</v>
      </c>
      <c r="K179">
        <v>36.020000000000003</v>
      </c>
      <c r="L179">
        <v>206</v>
      </c>
      <c r="P179" t="str" cm="1">
        <f t="array" ref="P179:P183">J179:J183</f>
        <v>t</v>
      </c>
    </row>
    <row r="180" spans="1:20" ht="300" x14ac:dyDescent="0.25">
      <c r="I180" s="15" t="s">
        <v>279</v>
      </c>
      <c r="J180" t="s">
        <v>39</v>
      </c>
      <c r="K180">
        <v>53.84</v>
      </c>
      <c r="L180">
        <v>303</v>
      </c>
      <c r="P180" t="str">
        <v>t</v>
      </c>
    </row>
    <row r="181" spans="1:20" ht="330" x14ac:dyDescent="0.25">
      <c r="I181" s="15" t="s">
        <v>280</v>
      </c>
      <c r="J181" t="s">
        <v>39</v>
      </c>
      <c r="K181">
        <v>56.17</v>
      </c>
      <c r="L181">
        <v>319</v>
      </c>
      <c r="P181" t="str">
        <v>t</v>
      </c>
    </row>
    <row r="182" spans="1:20" ht="210" x14ac:dyDescent="0.25">
      <c r="I182" s="15" t="s">
        <v>281</v>
      </c>
      <c r="J182" t="s">
        <v>39</v>
      </c>
      <c r="K182">
        <v>43.66</v>
      </c>
      <c r="L182">
        <v>229</v>
      </c>
      <c r="P182" t="str">
        <v>t</v>
      </c>
    </row>
    <row r="183" spans="1:20" s="2" customFormat="1" ht="90" x14ac:dyDescent="0.25">
      <c r="B183" s="6"/>
      <c r="C183" s="8"/>
      <c r="I183" s="16" t="s">
        <v>282</v>
      </c>
      <c r="J183" s="2" t="s">
        <v>22</v>
      </c>
      <c r="K183" s="2">
        <v>22</v>
      </c>
      <c r="L183" s="2">
        <v>132</v>
      </c>
      <c r="P183" s="2" t="str">
        <v>f</v>
      </c>
      <c r="Q183" s="11"/>
    </row>
    <row r="184" spans="1:20" ht="195" x14ac:dyDescent="0.25">
      <c r="A184" s="5" t="s">
        <v>283</v>
      </c>
      <c r="B184" s="5" t="s">
        <v>285</v>
      </c>
      <c r="C184" s="1" t="s">
        <v>286</v>
      </c>
      <c r="D184" t="s">
        <v>249</v>
      </c>
      <c r="E184" t="s">
        <v>284</v>
      </c>
      <c r="F184">
        <v>77</v>
      </c>
      <c r="G184">
        <v>7</v>
      </c>
      <c r="H184" t="s">
        <v>18</v>
      </c>
      <c r="I184" s="15" t="s">
        <v>288</v>
      </c>
      <c r="J184" t="s">
        <v>22</v>
      </c>
      <c r="K184">
        <v>3.54</v>
      </c>
      <c r="L184">
        <v>17</v>
      </c>
      <c r="O184" t="str" cm="1">
        <f t="array" ref="O184:O188">J184:J188</f>
        <v>f</v>
      </c>
      <c r="T184">
        <f>COUNTIF($J184:$J194,"t")</f>
        <v>1</v>
      </c>
    </row>
    <row r="185" spans="1:20" x14ac:dyDescent="0.25">
      <c r="I185" s="15" t="s">
        <v>288</v>
      </c>
      <c r="J185" t="s">
        <v>22</v>
      </c>
      <c r="K185">
        <v>3.5</v>
      </c>
      <c r="L185">
        <v>17</v>
      </c>
      <c r="O185" t="str">
        <v>f</v>
      </c>
    </row>
    <row r="186" spans="1:20" x14ac:dyDescent="0.25">
      <c r="I186" s="15" t="s">
        <v>289</v>
      </c>
      <c r="J186" t="s">
        <v>22</v>
      </c>
      <c r="K186">
        <v>2.68</v>
      </c>
      <c r="L186">
        <v>16</v>
      </c>
      <c r="O186" t="str">
        <v>f</v>
      </c>
    </row>
    <row r="187" spans="1:20" x14ac:dyDescent="0.25">
      <c r="I187" s="15" t="s">
        <v>290</v>
      </c>
      <c r="J187" t="s">
        <v>22</v>
      </c>
      <c r="K187">
        <v>2.73</v>
      </c>
      <c r="L187">
        <v>16</v>
      </c>
      <c r="O187" t="str">
        <v>f</v>
      </c>
    </row>
    <row r="188" spans="1:20" x14ac:dyDescent="0.25">
      <c r="I188" s="15" t="s">
        <v>289</v>
      </c>
      <c r="J188" t="s">
        <v>22</v>
      </c>
      <c r="K188">
        <v>2.63</v>
      </c>
      <c r="L188">
        <v>16</v>
      </c>
      <c r="O188" t="str">
        <v>f</v>
      </c>
    </row>
    <row r="189" spans="1:20" ht="105" x14ac:dyDescent="0.25">
      <c r="C189" s="1" t="s">
        <v>287</v>
      </c>
      <c r="F189">
        <v>93</v>
      </c>
      <c r="I189" s="15" t="s">
        <v>291</v>
      </c>
      <c r="J189" t="s">
        <v>22</v>
      </c>
      <c r="K189">
        <v>27.71</v>
      </c>
      <c r="L189">
        <v>151</v>
      </c>
      <c r="P189" t="str" cm="1">
        <f t="array" ref="P189:P193">J189:J193</f>
        <v>f</v>
      </c>
    </row>
    <row r="190" spans="1:20" ht="300" x14ac:dyDescent="0.25">
      <c r="I190" s="15" t="s">
        <v>292</v>
      </c>
      <c r="J190" t="s">
        <v>39</v>
      </c>
      <c r="K190">
        <v>53.62</v>
      </c>
      <c r="L190">
        <v>296</v>
      </c>
      <c r="P190" t="str">
        <v>t</v>
      </c>
    </row>
    <row r="191" spans="1:20" ht="240" x14ac:dyDescent="0.25">
      <c r="I191" s="15" t="s">
        <v>293</v>
      </c>
      <c r="J191" t="s">
        <v>22</v>
      </c>
      <c r="K191">
        <v>44.64</v>
      </c>
      <c r="L191">
        <v>248</v>
      </c>
      <c r="P191" t="str">
        <v>f</v>
      </c>
    </row>
    <row r="192" spans="1:20" ht="195" x14ac:dyDescent="0.25">
      <c r="I192" s="15" t="s">
        <v>294</v>
      </c>
      <c r="J192" t="s">
        <v>22</v>
      </c>
      <c r="K192">
        <v>44.29</v>
      </c>
      <c r="L192">
        <v>234</v>
      </c>
      <c r="P192" t="str">
        <v>f</v>
      </c>
    </row>
    <row r="193" spans="1:20" s="2" customFormat="1" ht="255" x14ac:dyDescent="0.25">
      <c r="B193" s="6"/>
      <c r="C193" s="8"/>
      <c r="I193" s="16" t="s">
        <v>295</v>
      </c>
      <c r="J193" s="2" t="s">
        <v>22</v>
      </c>
      <c r="K193" s="2">
        <v>49.56</v>
      </c>
      <c r="L193" s="2">
        <v>280</v>
      </c>
      <c r="P193" s="2" t="str">
        <v>f</v>
      </c>
      <c r="Q193" s="11"/>
    </row>
    <row r="194" spans="1:20" ht="225" x14ac:dyDescent="0.25">
      <c r="A194" s="5" t="s">
        <v>296</v>
      </c>
      <c r="B194" s="5" t="s">
        <v>297</v>
      </c>
      <c r="C194" s="1" t="s">
        <v>308</v>
      </c>
      <c r="D194" t="s">
        <v>249</v>
      </c>
      <c r="E194" t="s">
        <v>284</v>
      </c>
      <c r="F194">
        <v>108</v>
      </c>
      <c r="G194">
        <v>9</v>
      </c>
      <c r="H194" t="s">
        <v>82</v>
      </c>
      <c r="I194" s="15" t="s">
        <v>298</v>
      </c>
      <c r="J194" t="s">
        <v>22</v>
      </c>
      <c r="K194">
        <v>4.16</v>
      </c>
      <c r="L194">
        <v>22</v>
      </c>
      <c r="O194" t="str" cm="1">
        <f t="array" ref="O194:O198">J194:J198</f>
        <v>f</v>
      </c>
      <c r="T194">
        <f>COUNTIF($J194:$J204,"t")</f>
        <v>1</v>
      </c>
    </row>
    <row r="195" spans="1:20" ht="285" x14ac:dyDescent="0.25">
      <c r="I195" s="15" t="s">
        <v>299</v>
      </c>
      <c r="J195" t="s">
        <v>22</v>
      </c>
      <c r="K195">
        <v>62.28</v>
      </c>
      <c r="L195">
        <v>323</v>
      </c>
      <c r="O195" t="str">
        <v>f</v>
      </c>
    </row>
    <row r="196" spans="1:20" x14ac:dyDescent="0.25">
      <c r="I196" s="15" t="s">
        <v>300</v>
      </c>
      <c r="J196" t="s">
        <v>22</v>
      </c>
      <c r="K196">
        <v>3.56</v>
      </c>
      <c r="L196">
        <v>17</v>
      </c>
      <c r="O196" t="str">
        <v>f</v>
      </c>
    </row>
    <row r="197" spans="1:20" x14ac:dyDescent="0.25">
      <c r="I197" s="15" t="s">
        <v>301</v>
      </c>
      <c r="J197" t="s">
        <v>22</v>
      </c>
      <c r="K197">
        <v>3.24</v>
      </c>
      <c r="L197">
        <v>17</v>
      </c>
      <c r="O197" t="str">
        <v>f</v>
      </c>
    </row>
    <row r="198" spans="1:20" x14ac:dyDescent="0.25">
      <c r="I198" s="15" t="s">
        <v>302</v>
      </c>
      <c r="J198" t="s">
        <v>22</v>
      </c>
      <c r="K198">
        <v>3.08</v>
      </c>
      <c r="L198">
        <v>17</v>
      </c>
      <c r="O198" t="str">
        <v>f</v>
      </c>
    </row>
    <row r="199" spans="1:20" ht="345" x14ac:dyDescent="0.25">
      <c r="C199" s="1" t="s">
        <v>309</v>
      </c>
      <c r="F199">
        <v>126</v>
      </c>
      <c r="I199" s="15" t="s">
        <v>303</v>
      </c>
      <c r="J199" t="s">
        <v>22</v>
      </c>
      <c r="K199">
        <v>98.95</v>
      </c>
      <c r="L199">
        <v>490</v>
      </c>
      <c r="P199" t="str" cm="1">
        <f t="array" ref="P199:P203">J199:J203</f>
        <v>f</v>
      </c>
    </row>
    <row r="200" spans="1:20" ht="390" x14ac:dyDescent="0.25">
      <c r="I200" s="15" t="s">
        <v>304</v>
      </c>
      <c r="J200" t="s">
        <v>22</v>
      </c>
      <c r="K200">
        <v>73.430000000000007</v>
      </c>
      <c r="L200">
        <v>376</v>
      </c>
      <c r="P200" t="str">
        <v>f</v>
      </c>
    </row>
    <row r="201" spans="1:20" ht="180" x14ac:dyDescent="0.25">
      <c r="I201" s="15" t="s">
        <v>305</v>
      </c>
      <c r="J201" t="s">
        <v>22</v>
      </c>
      <c r="K201">
        <v>65.760000000000005</v>
      </c>
      <c r="L201">
        <v>339</v>
      </c>
      <c r="P201" t="str">
        <v>f</v>
      </c>
    </row>
    <row r="202" spans="1:20" ht="240" x14ac:dyDescent="0.25">
      <c r="I202" s="15" t="s">
        <v>306</v>
      </c>
      <c r="J202" t="s">
        <v>22</v>
      </c>
      <c r="K202">
        <v>61.36</v>
      </c>
      <c r="L202">
        <v>341</v>
      </c>
      <c r="P202" t="str">
        <v>f</v>
      </c>
    </row>
    <row r="203" spans="1:20" s="2" customFormat="1" ht="330" x14ac:dyDescent="0.25">
      <c r="B203" s="6"/>
      <c r="C203" s="8"/>
      <c r="I203" s="16" t="s">
        <v>307</v>
      </c>
      <c r="J203" s="2" t="s">
        <v>22</v>
      </c>
      <c r="K203" s="2">
        <v>80.14</v>
      </c>
      <c r="L203" s="2">
        <v>435</v>
      </c>
      <c r="P203" s="2" t="str">
        <v>f</v>
      </c>
      <c r="Q203" s="11"/>
    </row>
    <row r="204" spans="1:20" x14ac:dyDescent="0.25">
      <c r="A204" t="s">
        <v>336</v>
      </c>
      <c r="B204" s="5" t="s">
        <v>337</v>
      </c>
      <c r="C204" s="1" t="s">
        <v>310</v>
      </c>
      <c r="D204" t="s">
        <v>16</v>
      </c>
      <c r="E204" t="s">
        <v>195</v>
      </c>
      <c r="F204">
        <v>76</v>
      </c>
      <c r="G204">
        <v>7</v>
      </c>
      <c r="H204" t="s">
        <v>18</v>
      </c>
      <c r="J204" t="s">
        <v>39</v>
      </c>
      <c r="O204" t="str" cm="1">
        <f t="array" ref="O204:O208">J204:J208</f>
        <v>t</v>
      </c>
    </row>
    <row r="205" spans="1:20" x14ac:dyDescent="0.25">
      <c r="J205" t="s">
        <v>22</v>
      </c>
      <c r="O205" t="str">
        <v>f</v>
      </c>
    </row>
    <row r="206" spans="1:20" x14ac:dyDescent="0.25">
      <c r="J206" t="s">
        <v>39</v>
      </c>
      <c r="O206" t="str">
        <v>t</v>
      </c>
    </row>
    <row r="207" spans="1:20" x14ac:dyDescent="0.25">
      <c r="J207" t="s">
        <v>39</v>
      </c>
      <c r="O207" t="str">
        <v>t</v>
      </c>
    </row>
    <row r="208" spans="1:20" x14ac:dyDescent="0.25">
      <c r="J208" t="s">
        <v>22</v>
      </c>
      <c r="O208" t="str">
        <v>f</v>
      </c>
    </row>
    <row r="209" spans="1:17" x14ac:dyDescent="0.25">
      <c r="C209" s="1" t="s">
        <v>311</v>
      </c>
      <c r="F209">
        <v>90</v>
      </c>
      <c r="J209" t="s">
        <v>22</v>
      </c>
      <c r="P209" t="str" cm="1">
        <f t="array" ref="P209:P213">J209:J213</f>
        <v>f</v>
      </c>
    </row>
    <row r="210" spans="1:17" x14ac:dyDescent="0.25">
      <c r="J210" t="s">
        <v>39</v>
      </c>
      <c r="P210" t="str">
        <v>t</v>
      </c>
    </row>
    <row r="211" spans="1:17" x14ac:dyDescent="0.25">
      <c r="J211" t="s">
        <v>39</v>
      </c>
      <c r="P211" t="str">
        <v>t</v>
      </c>
    </row>
    <row r="212" spans="1:17" x14ac:dyDescent="0.25">
      <c r="J212" t="s">
        <v>39</v>
      </c>
      <c r="P212" t="str">
        <v>t</v>
      </c>
    </row>
    <row r="213" spans="1:17" s="2" customFormat="1" x14ac:dyDescent="0.25">
      <c r="B213" s="6"/>
      <c r="C213" s="8"/>
      <c r="I213" s="16"/>
      <c r="J213" s="2" t="s">
        <v>39</v>
      </c>
      <c r="P213" s="2" t="str">
        <v>t</v>
      </c>
      <c r="Q213" s="11"/>
    </row>
    <row r="214" spans="1:17" x14ac:dyDescent="0.25">
      <c r="A214" t="s">
        <v>338</v>
      </c>
      <c r="B214" s="5" t="s">
        <v>339</v>
      </c>
      <c r="C214" s="1" t="s">
        <v>312</v>
      </c>
      <c r="D214" t="s">
        <v>155</v>
      </c>
      <c r="E214" t="s">
        <v>195</v>
      </c>
      <c r="F214">
        <v>82</v>
      </c>
      <c r="G214">
        <v>7</v>
      </c>
      <c r="H214" t="s">
        <v>18</v>
      </c>
      <c r="J214" t="s">
        <v>22</v>
      </c>
      <c r="O214" t="str" cm="1">
        <f t="array" ref="O214:O218">J214:J218</f>
        <v>f</v>
      </c>
    </row>
    <row r="215" spans="1:17" x14ac:dyDescent="0.25">
      <c r="J215" t="s">
        <v>22</v>
      </c>
      <c r="O215" t="str">
        <v>f</v>
      </c>
    </row>
    <row r="216" spans="1:17" x14ac:dyDescent="0.25">
      <c r="J216" t="s">
        <v>22</v>
      </c>
      <c r="O216" t="str">
        <v>f</v>
      </c>
    </row>
    <row r="217" spans="1:17" x14ac:dyDescent="0.25">
      <c r="J217" t="s">
        <v>39</v>
      </c>
      <c r="O217" t="str">
        <v>t</v>
      </c>
    </row>
    <row r="218" spans="1:17" x14ac:dyDescent="0.25">
      <c r="J218" t="s">
        <v>22</v>
      </c>
      <c r="O218" t="str">
        <v>f</v>
      </c>
    </row>
    <row r="219" spans="1:17" x14ac:dyDescent="0.25">
      <c r="C219" s="1" t="s">
        <v>313</v>
      </c>
      <c r="F219">
        <v>96</v>
      </c>
      <c r="J219" t="s">
        <v>22</v>
      </c>
      <c r="P219" t="str" cm="1">
        <f t="array" ref="P219:P223">J219:J223</f>
        <v>f</v>
      </c>
    </row>
    <row r="220" spans="1:17" x14ac:dyDescent="0.25">
      <c r="J220" t="s">
        <v>22</v>
      </c>
      <c r="P220" t="str">
        <v>f</v>
      </c>
    </row>
    <row r="221" spans="1:17" x14ac:dyDescent="0.25">
      <c r="J221" t="s">
        <v>22</v>
      </c>
      <c r="P221" t="str">
        <v>f</v>
      </c>
    </row>
    <row r="222" spans="1:17" x14ac:dyDescent="0.25">
      <c r="J222" t="s">
        <v>39</v>
      </c>
      <c r="P222" t="str">
        <v>t</v>
      </c>
    </row>
    <row r="223" spans="1:17" s="2" customFormat="1" x14ac:dyDescent="0.25">
      <c r="B223" s="6"/>
      <c r="C223" s="8"/>
      <c r="I223" s="16"/>
      <c r="J223" s="2" t="s">
        <v>22</v>
      </c>
      <c r="P223" s="2" t="str">
        <v>f</v>
      </c>
      <c r="Q223" s="11"/>
    </row>
    <row r="224" spans="1:17" x14ac:dyDescent="0.25">
      <c r="A224" t="s">
        <v>340</v>
      </c>
      <c r="B224" s="5" t="s">
        <v>341</v>
      </c>
      <c r="C224" s="1" t="s">
        <v>314</v>
      </c>
      <c r="D224" t="s">
        <v>16</v>
      </c>
      <c r="E224" t="s">
        <v>195</v>
      </c>
      <c r="F224">
        <v>74</v>
      </c>
      <c r="G224">
        <v>6</v>
      </c>
      <c r="H224" t="s">
        <v>18</v>
      </c>
      <c r="J224" t="s">
        <v>22</v>
      </c>
      <c r="O224" t="str" cm="1">
        <f t="array" ref="O224:O228">J224:J228</f>
        <v>f</v>
      </c>
    </row>
    <row r="225" spans="1:17" x14ac:dyDescent="0.25">
      <c r="J225" t="s">
        <v>22</v>
      </c>
      <c r="O225" t="str">
        <v>f</v>
      </c>
    </row>
    <row r="226" spans="1:17" x14ac:dyDescent="0.25">
      <c r="J226" t="s">
        <v>22</v>
      </c>
      <c r="O226" t="str">
        <v>f</v>
      </c>
    </row>
    <row r="227" spans="1:17" x14ac:dyDescent="0.25">
      <c r="J227" t="s">
        <v>22</v>
      </c>
      <c r="O227" t="str">
        <v>f</v>
      </c>
    </row>
    <row r="228" spans="1:17" x14ac:dyDescent="0.25">
      <c r="J228" t="s">
        <v>22</v>
      </c>
      <c r="O228" t="str">
        <v>f</v>
      </c>
    </row>
    <row r="229" spans="1:17" x14ac:dyDescent="0.25">
      <c r="C229" s="1" t="s">
        <v>315</v>
      </c>
      <c r="F229">
        <v>91</v>
      </c>
      <c r="J229" t="s">
        <v>22</v>
      </c>
      <c r="P229" t="str" cm="1">
        <f t="array" ref="P229:P233">J229:J233</f>
        <v>f</v>
      </c>
    </row>
    <row r="230" spans="1:17" x14ac:dyDescent="0.25">
      <c r="J230" t="s">
        <v>22</v>
      </c>
      <c r="P230" t="str">
        <v>f</v>
      </c>
    </row>
    <row r="231" spans="1:17" x14ac:dyDescent="0.25">
      <c r="J231" t="s">
        <v>22</v>
      </c>
      <c r="P231" t="str">
        <v>f</v>
      </c>
    </row>
    <row r="232" spans="1:17" x14ac:dyDescent="0.25">
      <c r="J232" t="s">
        <v>22</v>
      </c>
      <c r="P232" t="str">
        <v>f</v>
      </c>
    </row>
    <row r="233" spans="1:17" s="2" customFormat="1" x14ac:dyDescent="0.25">
      <c r="B233" s="6"/>
      <c r="C233" s="8"/>
      <c r="I233" s="16"/>
      <c r="J233" s="2" t="s">
        <v>22</v>
      </c>
      <c r="P233" s="2" t="str">
        <v>f</v>
      </c>
      <c r="Q233" s="11"/>
    </row>
    <row r="234" spans="1:17" x14ac:dyDescent="0.25">
      <c r="A234" t="s">
        <v>342</v>
      </c>
      <c r="B234" s="5" t="s">
        <v>343</v>
      </c>
      <c r="C234" s="1" t="s">
        <v>316</v>
      </c>
      <c r="D234" t="s">
        <v>16</v>
      </c>
      <c r="E234" t="s">
        <v>195</v>
      </c>
      <c r="F234">
        <v>48</v>
      </c>
      <c r="G234">
        <v>9</v>
      </c>
      <c r="H234" t="s">
        <v>18</v>
      </c>
      <c r="J234" t="s">
        <v>39</v>
      </c>
      <c r="O234" t="str" cm="1">
        <f t="array" ref="O234:O238">J234:J238</f>
        <v>t</v>
      </c>
    </row>
    <row r="235" spans="1:17" x14ac:dyDescent="0.25">
      <c r="J235" t="s">
        <v>39</v>
      </c>
      <c r="O235" t="str">
        <v>t</v>
      </c>
    </row>
    <row r="236" spans="1:17" x14ac:dyDescent="0.25">
      <c r="J236" t="s">
        <v>39</v>
      </c>
      <c r="O236" t="str">
        <v>t</v>
      </c>
    </row>
    <row r="237" spans="1:17" x14ac:dyDescent="0.25">
      <c r="J237" t="s">
        <v>39</v>
      </c>
      <c r="O237" t="str">
        <v>t</v>
      </c>
    </row>
    <row r="238" spans="1:17" x14ac:dyDescent="0.25">
      <c r="J238" t="s">
        <v>22</v>
      </c>
      <c r="O238" t="str">
        <v>f</v>
      </c>
    </row>
    <row r="239" spans="1:17" x14ac:dyDescent="0.25">
      <c r="C239" s="1" t="s">
        <v>317</v>
      </c>
      <c r="F239">
        <v>65</v>
      </c>
      <c r="J239" t="s">
        <v>39</v>
      </c>
      <c r="P239" t="str" cm="1">
        <f t="array" ref="P239:P243">J239:J243</f>
        <v>t</v>
      </c>
    </row>
    <row r="240" spans="1:17" x14ac:dyDescent="0.25">
      <c r="J240" t="s">
        <v>39</v>
      </c>
      <c r="P240" t="str">
        <v>t</v>
      </c>
    </row>
    <row r="241" spans="1:17" x14ac:dyDescent="0.25">
      <c r="J241" t="s">
        <v>39</v>
      </c>
      <c r="P241" t="str">
        <v>t</v>
      </c>
    </row>
    <row r="242" spans="1:17" x14ac:dyDescent="0.25">
      <c r="J242" t="s">
        <v>39</v>
      </c>
      <c r="P242" t="str">
        <v>t</v>
      </c>
    </row>
    <row r="243" spans="1:17" s="2" customFormat="1" x14ac:dyDescent="0.25">
      <c r="B243" s="6"/>
      <c r="C243" s="8"/>
      <c r="I243" s="16"/>
      <c r="J243" s="2" t="s">
        <v>39</v>
      </c>
      <c r="P243" s="2" t="str">
        <v>t</v>
      </c>
      <c r="Q243" s="11"/>
    </row>
    <row r="244" spans="1:17" x14ac:dyDescent="0.25">
      <c r="A244" t="s">
        <v>344</v>
      </c>
      <c r="B244" s="5" t="s">
        <v>345</v>
      </c>
      <c r="C244" s="1" t="s">
        <v>318</v>
      </c>
      <c r="D244" t="s">
        <v>16</v>
      </c>
      <c r="E244" t="s">
        <v>195</v>
      </c>
      <c r="F244">
        <v>79</v>
      </c>
      <c r="G244">
        <v>12</v>
      </c>
      <c r="H244" t="s">
        <v>18</v>
      </c>
      <c r="J244" t="s">
        <v>39</v>
      </c>
      <c r="O244" t="str" cm="1">
        <f t="array" ref="O244:O248">J244:J248</f>
        <v>t</v>
      </c>
    </row>
    <row r="245" spans="1:17" x14ac:dyDescent="0.25">
      <c r="J245" t="s">
        <v>39</v>
      </c>
      <c r="O245" t="str">
        <v>t</v>
      </c>
    </row>
    <row r="246" spans="1:17" x14ac:dyDescent="0.25">
      <c r="J246" t="s">
        <v>22</v>
      </c>
      <c r="O246" t="str">
        <v>f</v>
      </c>
    </row>
    <row r="247" spans="1:17" x14ac:dyDescent="0.25">
      <c r="J247" t="s">
        <v>22</v>
      </c>
      <c r="O247" t="str">
        <v>f</v>
      </c>
    </row>
    <row r="248" spans="1:17" x14ac:dyDescent="0.25">
      <c r="J248" t="s">
        <v>22</v>
      </c>
      <c r="O248" t="str">
        <v>f</v>
      </c>
    </row>
    <row r="249" spans="1:17" x14ac:dyDescent="0.25">
      <c r="C249" s="1" t="s">
        <v>319</v>
      </c>
      <c r="F249">
        <v>96</v>
      </c>
      <c r="J249" t="s">
        <v>39</v>
      </c>
      <c r="P249" t="str" cm="1">
        <f t="array" ref="P249:P253">J249:J253</f>
        <v>t</v>
      </c>
    </row>
    <row r="250" spans="1:17" x14ac:dyDescent="0.25">
      <c r="J250" t="s">
        <v>22</v>
      </c>
      <c r="P250" t="str">
        <v>f</v>
      </c>
    </row>
    <row r="251" spans="1:17" x14ac:dyDescent="0.25">
      <c r="J251" t="s">
        <v>39</v>
      </c>
      <c r="P251" t="str">
        <v>t</v>
      </c>
    </row>
    <row r="252" spans="1:17" x14ac:dyDescent="0.25">
      <c r="J252" t="s">
        <v>22</v>
      </c>
      <c r="P252" t="str">
        <v>f</v>
      </c>
    </row>
    <row r="253" spans="1:17" s="2" customFormat="1" x14ac:dyDescent="0.25">
      <c r="B253" s="6"/>
      <c r="C253" s="8"/>
      <c r="I253" s="16"/>
      <c r="J253" s="2" t="s">
        <v>22</v>
      </c>
      <c r="P253" s="2" t="str">
        <v>f</v>
      </c>
      <c r="Q253" s="11"/>
    </row>
    <row r="254" spans="1:17" x14ac:dyDescent="0.25">
      <c r="A254" t="s">
        <v>346</v>
      </c>
      <c r="B254" s="5" t="s">
        <v>347</v>
      </c>
      <c r="C254" s="1" t="s">
        <v>320</v>
      </c>
      <c r="D254" t="s">
        <v>16</v>
      </c>
      <c r="E254" t="s">
        <v>195</v>
      </c>
      <c r="F254">
        <v>55</v>
      </c>
      <c r="G254">
        <v>11</v>
      </c>
      <c r="H254" t="s">
        <v>18</v>
      </c>
      <c r="J254" t="s">
        <v>22</v>
      </c>
      <c r="O254" t="str" cm="1">
        <f t="array" ref="O254:O258">J254:J258</f>
        <v>f</v>
      </c>
    </row>
    <row r="255" spans="1:17" x14ac:dyDescent="0.25">
      <c r="J255" t="s">
        <v>22</v>
      </c>
      <c r="O255" t="str">
        <v>f</v>
      </c>
    </row>
    <row r="256" spans="1:17" x14ac:dyDescent="0.25">
      <c r="J256" t="s">
        <v>22</v>
      </c>
      <c r="O256" t="str">
        <v>f</v>
      </c>
    </row>
    <row r="257" spans="1:17" x14ac:dyDescent="0.25">
      <c r="J257" t="s">
        <v>39</v>
      </c>
      <c r="O257" t="str">
        <v>t</v>
      </c>
    </row>
    <row r="258" spans="1:17" x14ac:dyDescent="0.25">
      <c r="J258" t="s">
        <v>22</v>
      </c>
      <c r="O258" t="str">
        <v>f</v>
      </c>
    </row>
    <row r="259" spans="1:17" x14ac:dyDescent="0.25">
      <c r="C259" s="1" t="s">
        <v>321</v>
      </c>
      <c r="F259">
        <v>72</v>
      </c>
      <c r="J259" t="s">
        <v>22</v>
      </c>
      <c r="P259" t="str" cm="1">
        <f t="array" ref="P259:P263">J259:J263</f>
        <v>f</v>
      </c>
    </row>
    <row r="260" spans="1:17" x14ac:dyDescent="0.25">
      <c r="J260" t="s">
        <v>22</v>
      </c>
      <c r="P260" t="str">
        <v>f</v>
      </c>
    </row>
    <row r="261" spans="1:17" x14ac:dyDescent="0.25">
      <c r="J261" t="s">
        <v>22</v>
      </c>
      <c r="P261" t="str">
        <v>f</v>
      </c>
    </row>
    <row r="262" spans="1:17" x14ac:dyDescent="0.25">
      <c r="J262" t="s">
        <v>22</v>
      </c>
      <c r="P262" t="str">
        <v>f</v>
      </c>
    </row>
    <row r="263" spans="1:17" s="2" customFormat="1" x14ac:dyDescent="0.25">
      <c r="B263" s="6"/>
      <c r="C263" s="8"/>
      <c r="I263" s="16"/>
      <c r="J263" s="2" t="s">
        <v>22</v>
      </c>
      <c r="P263" s="2" t="str">
        <v>f</v>
      </c>
      <c r="Q263" s="11"/>
    </row>
    <row r="264" spans="1:17" x14ac:dyDescent="0.25">
      <c r="A264" t="s">
        <v>350</v>
      </c>
      <c r="B264" s="5" t="s">
        <v>351</v>
      </c>
      <c r="C264" s="1" t="s">
        <v>322</v>
      </c>
      <c r="D264" t="s">
        <v>16</v>
      </c>
      <c r="E264" t="s">
        <v>195</v>
      </c>
      <c r="F264">
        <v>80</v>
      </c>
      <c r="G264">
        <v>11</v>
      </c>
      <c r="H264" t="s">
        <v>18</v>
      </c>
      <c r="J264" t="s">
        <v>22</v>
      </c>
      <c r="O264" t="str" cm="1">
        <f t="array" ref="O264:O268">J264:J268</f>
        <v>f</v>
      </c>
    </row>
    <row r="265" spans="1:17" x14ac:dyDescent="0.25">
      <c r="J265" t="s">
        <v>22</v>
      </c>
      <c r="O265" t="str">
        <v>f</v>
      </c>
    </row>
    <row r="266" spans="1:17" x14ac:dyDescent="0.25">
      <c r="J266" t="s">
        <v>22</v>
      </c>
      <c r="O266" t="str">
        <v>f</v>
      </c>
    </row>
    <row r="267" spans="1:17" x14ac:dyDescent="0.25">
      <c r="J267" t="s">
        <v>22</v>
      </c>
      <c r="O267" t="str">
        <v>f</v>
      </c>
    </row>
    <row r="268" spans="1:17" x14ac:dyDescent="0.25">
      <c r="J268" t="s">
        <v>22</v>
      </c>
      <c r="O268" t="str">
        <v>f</v>
      </c>
    </row>
    <row r="269" spans="1:17" x14ac:dyDescent="0.25">
      <c r="C269" s="1" t="s">
        <v>323</v>
      </c>
      <c r="F269">
        <v>97</v>
      </c>
      <c r="J269" t="s">
        <v>22</v>
      </c>
      <c r="P269" t="str" cm="1">
        <f t="array" ref="P269:P273">J269:J273</f>
        <v>f</v>
      </c>
    </row>
    <row r="270" spans="1:17" x14ac:dyDescent="0.25">
      <c r="J270" t="s">
        <v>22</v>
      </c>
      <c r="P270" t="str">
        <v>f</v>
      </c>
    </row>
    <row r="271" spans="1:17" x14ac:dyDescent="0.25">
      <c r="J271" t="s">
        <v>39</v>
      </c>
      <c r="P271" t="str">
        <v>t</v>
      </c>
    </row>
    <row r="272" spans="1:17" x14ac:dyDescent="0.25">
      <c r="J272" t="s">
        <v>22</v>
      </c>
      <c r="P272" t="str">
        <v>f</v>
      </c>
    </row>
    <row r="273" spans="1:17" s="2" customFormat="1" x14ac:dyDescent="0.25">
      <c r="B273" s="6"/>
      <c r="C273" s="8"/>
      <c r="I273" s="16"/>
      <c r="J273" s="2" t="s">
        <v>22</v>
      </c>
      <c r="P273" s="2" t="str">
        <v>f</v>
      </c>
      <c r="Q273" s="11"/>
    </row>
    <row r="274" spans="1:17" x14ac:dyDescent="0.25">
      <c r="A274" t="s">
        <v>348</v>
      </c>
      <c r="B274" s="5" t="s">
        <v>349</v>
      </c>
      <c r="C274" s="1" t="s">
        <v>324</v>
      </c>
      <c r="D274" t="s">
        <v>181</v>
      </c>
      <c r="E274" t="s">
        <v>213</v>
      </c>
      <c r="F274">
        <v>104</v>
      </c>
      <c r="G274">
        <v>8</v>
      </c>
      <c r="H274" t="s">
        <v>18</v>
      </c>
      <c r="J274" t="s">
        <v>22</v>
      </c>
      <c r="O274" t="str" cm="1">
        <f t="array" ref="O274:O278">J274:J278</f>
        <v>f</v>
      </c>
    </row>
    <row r="275" spans="1:17" x14ac:dyDescent="0.25">
      <c r="J275" t="s">
        <v>22</v>
      </c>
      <c r="O275" t="str">
        <v>f</v>
      </c>
    </row>
    <row r="276" spans="1:17" x14ac:dyDescent="0.25">
      <c r="J276" t="s">
        <v>22</v>
      </c>
      <c r="O276" t="str">
        <v>f</v>
      </c>
    </row>
    <row r="277" spans="1:17" x14ac:dyDescent="0.25">
      <c r="J277" t="s">
        <v>22</v>
      </c>
      <c r="O277" t="str">
        <v>f</v>
      </c>
    </row>
    <row r="278" spans="1:17" x14ac:dyDescent="0.25">
      <c r="J278" t="s">
        <v>22</v>
      </c>
      <c r="O278" t="str">
        <v>f</v>
      </c>
    </row>
    <row r="279" spans="1:17" x14ac:dyDescent="0.25">
      <c r="C279" s="1" t="s">
        <v>325</v>
      </c>
      <c r="F279">
        <v>122</v>
      </c>
      <c r="J279" t="s">
        <v>22</v>
      </c>
      <c r="P279" t="str" cm="1">
        <f t="array" ref="P279:P283">J279:J283</f>
        <v>f</v>
      </c>
    </row>
    <row r="280" spans="1:17" x14ac:dyDescent="0.25">
      <c r="J280" t="s">
        <v>22</v>
      </c>
      <c r="P280" t="str">
        <v>f</v>
      </c>
    </row>
    <row r="281" spans="1:17" x14ac:dyDescent="0.25">
      <c r="J281" t="s">
        <v>22</v>
      </c>
      <c r="P281" t="str">
        <v>f</v>
      </c>
    </row>
    <row r="282" spans="1:17" x14ac:dyDescent="0.25">
      <c r="J282" t="s">
        <v>22</v>
      </c>
      <c r="P282" t="str">
        <v>f</v>
      </c>
    </row>
    <row r="283" spans="1:17" s="2" customFormat="1" x14ac:dyDescent="0.25">
      <c r="B283" s="6"/>
      <c r="C283" s="8"/>
      <c r="I283" s="16"/>
      <c r="J283" s="2" t="s">
        <v>22</v>
      </c>
      <c r="P283" s="2" t="str">
        <v>f</v>
      </c>
      <c r="Q283" s="11"/>
    </row>
    <row r="284" spans="1:17" x14ac:dyDescent="0.25">
      <c r="A284" t="s">
        <v>352</v>
      </c>
      <c r="B284" s="5" t="s">
        <v>353</v>
      </c>
      <c r="C284" s="1" t="s">
        <v>326</v>
      </c>
      <c r="D284" t="s">
        <v>56</v>
      </c>
      <c r="E284" t="s">
        <v>213</v>
      </c>
      <c r="F284">
        <v>85</v>
      </c>
      <c r="G284">
        <v>10</v>
      </c>
      <c r="H284" t="s">
        <v>18</v>
      </c>
      <c r="J284" t="s">
        <v>22</v>
      </c>
      <c r="O284" t="str" cm="1">
        <f t="array" ref="O284:O288">J284:J288</f>
        <v>f</v>
      </c>
    </row>
    <row r="285" spans="1:17" x14ac:dyDescent="0.25">
      <c r="J285" t="s">
        <v>22</v>
      </c>
      <c r="O285" t="str">
        <v>f</v>
      </c>
    </row>
    <row r="286" spans="1:17" x14ac:dyDescent="0.25">
      <c r="J286" t="s">
        <v>22</v>
      </c>
      <c r="O286" t="str">
        <v>f</v>
      </c>
    </row>
    <row r="287" spans="1:17" x14ac:dyDescent="0.25">
      <c r="J287" t="s">
        <v>22</v>
      </c>
      <c r="O287" t="str">
        <v>f</v>
      </c>
    </row>
    <row r="288" spans="1:17" x14ac:dyDescent="0.25">
      <c r="J288" t="s">
        <v>22</v>
      </c>
      <c r="O288" t="str">
        <v>f</v>
      </c>
    </row>
    <row r="289" spans="1:20" x14ac:dyDescent="0.25">
      <c r="C289" s="1" t="s">
        <v>327</v>
      </c>
      <c r="F289">
        <v>102</v>
      </c>
      <c r="J289" t="s">
        <v>22</v>
      </c>
      <c r="P289" t="str" cm="1">
        <f t="array" ref="P289:P293">J289:J293</f>
        <v>f</v>
      </c>
    </row>
    <row r="290" spans="1:20" x14ac:dyDescent="0.25">
      <c r="J290" t="s">
        <v>39</v>
      </c>
      <c r="P290" t="str">
        <v>t</v>
      </c>
    </row>
    <row r="291" spans="1:20" x14ac:dyDescent="0.25">
      <c r="J291" t="s">
        <v>22</v>
      </c>
      <c r="P291" t="str">
        <v>f</v>
      </c>
    </row>
    <row r="292" spans="1:20" x14ac:dyDescent="0.25">
      <c r="J292" t="s">
        <v>22</v>
      </c>
      <c r="P292" t="str">
        <v>f</v>
      </c>
    </row>
    <row r="293" spans="1:20" s="2" customFormat="1" x14ac:dyDescent="0.25">
      <c r="B293" s="6"/>
      <c r="C293" s="8"/>
      <c r="I293" s="16"/>
      <c r="J293" s="2" t="s">
        <v>22</v>
      </c>
      <c r="P293" s="2" t="str">
        <v>f</v>
      </c>
      <c r="Q293" s="11"/>
    </row>
    <row r="294" spans="1:20" x14ac:dyDescent="0.25">
      <c r="A294" t="s">
        <v>355</v>
      </c>
      <c r="B294" s="5">
        <v>10</v>
      </c>
      <c r="C294" s="1" t="s">
        <v>328</v>
      </c>
      <c r="D294" t="s">
        <v>354</v>
      </c>
      <c r="E294" t="s">
        <v>250</v>
      </c>
      <c r="F294">
        <v>44</v>
      </c>
      <c r="G294">
        <v>4</v>
      </c>
      <c r="H294" t="s">
        <v>18</v>
      </c>
      <c r="J294" t="s">
        <v>39</v>
      </c>
      <c r="O294" t="str" cm="1">
        <f t="array" ref="O294:O298">J294:J298</f>
        <v>t</v>
      </c>
    </row>
    <row r="295" spans="1:20" x14ac:dyDescent="0.25">
      <c r="J295" t="s">
        <v>39</v>
      </c>
      <c r="O295" t="str">
        <v>t</v>
      </c>
    </row>
    <row r="296" spans="1:20" x14ac:dyDescent="0.25">
      <c r="J296" t="s">
        <v>39</v>
      </c>
      <c r="O296" t="str">
        <v>t</v>
      </c>
    </row>
    <row r="297" spans="1:20" x14ac:dyDescent="0.25">
      <c r="J297" t="s">
        <v>22</v>
      </c>
      <c r="O297" t="str">
        <v>f</v>
      </c>
    </row>
    <row r="298" spans="1:20" x14ac:dyDescent="0.25">
      <c r="J298" t="s">
        <v>39</v>
      </c>
      <c r="O298" t="str">
        <v>t</v>
      </c>
    </row>
    <row r="299" spans="1:20" x14ac:dyDescent="0.25">
      <c r="C299" s="1" t="s">
        <v>329</v>
      </c>
      <c r="F299">
        <v>61</v>
      </c>
      <c r="J299" t="s">
        <v>39</v>
      </c>
      <c r="P299" t="str" cm="1">
        <f t="array" ref="P299:P303">J299:J303</f>
        <v>t</v>
      </c>
    </row>
    <row r="300" spans="1:20" x14ac:dyDescent="0.25">
      <c r="J300" t="s">
        <v>39</v>
      </c>
      <c r="P300" t="str">
        <v>t</v>
      </c>
    </row>
    <row r="301" spans="1:20" x14ac:dyDescent="0.25">
      <c r="J301" t="s">
        <v>39</v>
      </c>
      <c r="P301" t="str">
        <v>t</v>
      </c>
    </row>
    <row r="302" spans="1:20" x14ac:dyDescent="0.25">
      <c r="J302" t="s">
        <v>39</v>
      </c>
      <c r="P302" t="str">
        <v>t</v>
      </c>
    </row>
    <row r="303" spans="1:20" s="2" customFormat="1" x14ac:dyDescent="0.25">
      <c r="B303" s="6"/>
      <c r="C303" s="8"/>
      <c r="I303" s="16"/>
      <c r="J303" s="2" t="s">
        <v>39</v>
      </c>
      <c r="P303" s="2" t="str">
        <v>t</v>
      </c>
      <c r="Q303" s="11"/>
    </row>
    <row r="304" spans="1:20" x14ac:dyDescent="0.25">
      <c r="C304" s="1" t="s">
        <v>16</v>
      </c>
      <c r="D304">
        <f>COUNTIF(D3:D303,C304)</f>
        <v>15</v>
      </c>
      <c r="E304">
        <f>COUNTIF($E$3:$E$303,"very easy")</f>
        <v>4</v>
      </c>
      <c r="F304">
        <f>AVERAGE(F3:F303)</f>
        <v>80.61666666666666</v>
      </c>
      <c r="J304">
        <f>COUNTIF((J3:J303),"t")/301</f>
        <v>0.43189368770764119</v>
      </c>
      <c r="K304">
        <f>AVERAGE(K3:K203)</f>
        <v>23.636567164179098</v>
      </c>
      <c r="L304">
        <f>AVERAGE(L3:L203)</f>
        <v>129.13930348258705</v>
      </c>
      <c r="Q304" s="13">
        <f>AVERAGE(Q3:Q303)</f>
        <v>7</v>
      </c>
      <c r="R304" s="13">
        <f t="shared" ref="R304:T304" si="0">AVERAGE(R3:R303)</f>
        <v>6</v>
      </c>
      <c r="S304" s="13">
        <f t="shared" si="0"/>
        <v>4.333333333333333</v>
      </c>
      <c r="T304" s="13">
        <f t="shared" si="0"/>
        <v>2</v>
      </c>
    </row>
    <row r="305" spans="3:12" x14ac:dyDescent="0.25">
      <c r="C305" s="1" t="s">
        <v>155</v>
      </c>
      <c r="D305">
        <f t="shared" ref="D305:D307" si="1">COUNTIF(D4:D304,C305)</f>
        <v>8</v>
      </c>
      <c r="E305">
        <f>COUNTIF($E$3:$E$303,"easy")</f>
        <v>10</v>
      </c>
    </row>
    <row r="306" spans="3:12" x14ac:dyDescent="0.25">
      <c r="C306" s="1" t="s">
        <v>330</v>
      </c>
      <c r="D306">
        <f t="shared" si="1"/>
        <v>5</v>
      </c>
      <c r="E306">
        <f>COUNTIF($E$3:$E$303,"medium")</f>
        <v>11</v>
      </c>
      <c r="F306">
        <f>STDEV(F3:F303)</f>
        <v>24.287886125173156</v>
      </c>
      <c r="I306" s="5" t="s">
        <v>332</v>
      </c>
      <c r="J306">
        <f>(COUNTIF(O3:O303,"t"))/151</f>
        <v>0.4370860927152318</v>
      </c>
      <c r="K306">
        <f>AVERAGE(K194:K198,K184:K188,K174:K178,K164:K168,K154:K158,K144:K148,K134:K138,K124:K128,K114:K118,K104:K108,K94:K98,K84:K88,K74:K78,K64:K68,K54:K58,K44:K48,K34:K38,K24:K28,K14:K18,K3:K8)</f>
        <v>8.7722772277227747</v>
      </c>
      <c r="L306">
        <f>AVERAGE(L194:L198,L184:L188,L174:L178,L164:L168,L154:L158,L144:L148,L134:L138,L124:L128,L114:L118,L104:L108,L94:L98,L84:L88,L74:L78,L64:L68,L54:L58,L44:L48,L34:L38,L24:L28,L14:L18,L3:L8)</f>
        <v>49.881188118811885</v>
      </c>
    </row>
    <row r="307" spans="3:12" x14ac:dyDescent="0.25">
      <c r="C307" s="1" t="s">
        <v>331</v>
      </c>
      <c r="D307">
        <f t="shared" si="1"/>
        <v>2</v>
      </c>
      <c r="E307">
        <f>COUNTIF($E$3:$E$303,"hard")</f>
        <v>5</v>
      </c>
      <c r="I307" s="5" t="s">
        <v>333</v>
      </c>
      <c r="J307">
        <f>COUNTIF(P3:P303,"t")/150</f>
        <v>0.42666666666666669</v>
      </c>
      <c r="K307">
        <f>AVERAGE(K199:K203,K189:K193,K179:K183,K169:K173,K159:K163,K149:K153,K139:K143,K129:K133,K120:K123,K119,K109:K113,K99:K103,K89:K93,K79:K83)</f>
        <v>35.124153846153852</v>
      </c>
      <c r="L307">
        <f>AVERAGE(L199:L203,L189:L193,L179:L183,L169:L173,L159:L163,L149:L153,L139:L143,L129:L133,L120:L123,L119,L109:L113,L99:L103,L89:L93,L79:L83)</f>
        <v>194.49230769230769</v>
      </c>
    </row>
    <row r="309" spans="3:12" x14ac:dyDescent="0.25">
      <c r="K309" t="s">
        <v>334</v>
      </c>
      <c r="L309" t="s">
        <v>335</v>
      </c>
    </row>
  </sheetData>
  <mergeCells count="2">
    <mergeCell ref="C1:H1"/>
    <mergeCell ref="I1:M1"/>
  </mergeCells>
  <conditionalFormatting sqref="J1:J305 I306:I307 J308:J1048576">
    <cfRule type="beginsWith" dxfId="1" priority="1" operator="beginsWith" text="f">
      <formula>LEFT(I1,LEN("f"))="f"</formula>
    </cfRule>
    <cfRule type="beginsWith" dxfId="0" priority="2" operator="beginsWith" text="t">
      <formula>LEFT(I1,LEN("t"))="t"</formula>
    </cfRule>
  </conditionalFormatting>
  <pageMargins left="0.7" right="0.7" top="0.75" bottom="0.75" header="0.3" footer="0.3"/>
  <pageSetup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0EA3-8CFC-4D04-BDDE-2CF2E4E8A205}">
  <dimension ref="B2:O9"/>
  <sheetViews>
    <sheetView workbookViewId="0">
      <selection activeCell="O8" sqref="O8"/>
    </sheetView>
  </sheetViews>
  <sheetFormatPr defaultRowHeight="15" x14ac:dyDescent="0.25"/>
  <sheetData>
    <row r="2" spans="2:15" x14ac:dyDescent="0.25">
      <c r="B2" t="s">
        <v>28</v>
      </c>
    </row>
    <row r="3" spans="2:15" x14ac:dyDescent="0.25">
      <c r="C3" t="s">
        <v>29</v>
      </c>
      <c r="E3" t="s">
        <v>30</v>
      </c>
      <c r="G3" t="s">
        <v>31</v>
      </c>
    </row>
    <row r="4" spans="2:15" x14ac:dyDescent="0.25">
      <c r="C4" t="s">
        <v>113</v>
      </c>
    </row>
    <row r="7" spans="2:15" x14ac:dyDescent="0.25">
      <c r="B7" t="s">
        <v>32</v>
      </c>
    </row>
    <row r="8" spans="2:15" x14ac:dyDescent="0.25">
      <c r="C8" t="s">
        <v>33</v>
      </c>
      <c r="M8" t="s">
        <v>30</v>
      </c>
      <c r="O8" t="s">
        <v>34</v>
      </c>
    </row>
    <row r="9" spans="2:15" x14ac:dyDescent="0.25">
      <c r="C9" t="s">
        <v>119</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92557-1577-446E-AB36-F2D9357C17A0}">
  <dimension ref="B1:F7"/>
  <sheetViews>
    <sheetView workbookViewId="0">
      <selection activeCell="K10" sqref="K10"/>
    </sheetView>
  </sheetViews>
  <sheetFormatPr defaultRowHeight="15" x14ac:dyDescent="0.25"/>
  <sheetData>
    <row r="1" spans="2:6" x14ac:dyDescent="0.25">
      <c r="C1" t="s">
        <v>49</v>
      </c>
      <c r="D1" t="s">
        <v>50</v>
      </c>
      <c r="E1" t="s">
        <v>51</v>
      </c>
    </row>
    <row r="2" spans="2:6" x14ac:dyDescent="0.25">
      <c r="B2">
        <v>1</v>
      </c>
      <c r="C2">
        <v>16</v>
      </c>
      <c r="D2">
        <v>4</v>
      </c>
      <c r="E2">
        <f>C2+D2</f>
        <v>20</v>
      </c>
      <c r="F2">
        <f>E2*B2</f>
        <v>20</v>
      </c>
    </row>
    <row r="3" spans="2:6" x14ac:dyDescent="0.25">
      <c r="B3">
        <v>5</v>
      </c>
      <c r="C3">
        <v>5</v>
      </c>
      <c r="D3">
        <v>2</v>
      </c>
      <c r="E3">
        <f t="shared" ref="E3:E6" si="0">C3+D3</f>
        <v>7</v>
      </c>
      <c r="F3">
        <f t="shared" ref="F3:F6" si="1">E3*B3</f>
        <v>35</v>
      </c>
    </row>
    <row r="4" spans="2:6" x14ac:dyDescent="0.25">
      <c r="B4">
        <v>10</v>
      </c>
      <c r="C4">
        <v>1</v>
      </c>
      <c r="D4">
        <v>2</v>
      </c>
      <c r="E4">
        <f t="shared" si="0"/>
        <v>3</v>
      </c>
      <c r="F4">
        <f t="shared" si="1"/>
        <v>30</v>
      </c>
    </row>
    <row r="5" spans="2:6" x14ac:dyDescent="0.25">
      <c r="B5">
        <v>20</v>
      </c>
      <c r="C5">
        <v>0</v>
      </c>
      <c r="D5">
        <v>27</v>
      </c>
      <c r="E5">
        <f t="shared" si="0"/>
        <v>27</v>
      </c>
      <c r="F5">
        <f t="shared" si="1"/>
        <v>540</v>
      </c>
    </row>
    <row r="6" spans="2:6" x14ac:dyDescent="0.25">
      <c r="B6">
        <v>50</v>
      </c>
      <c r="C6">
        <v>0</v>
      </c>
      <c r="D6">
        <v>1</v>
      </c>
      <c r="E6">
        <f t="shared" si="0"/>
        <v>1</v>
      </c>
      <c r="F6">
        <f t="shared" si="1"/>
        <v>50</v>
      </c>
    </row>
    <row r="7" spans="2:6" x14ac:dyDescent="0.25">
      <c r="E7" t="s">
        <v>51</v>
      </c>
      <c r="F7">
        <f>SUM(F2:F6)</f>
        <v>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Punny Master</dc:creator>
  <cp:lastModifiedBy>Punny Master</cp:lastModifiedBy>
  <dcterms:created xsi:type="dcterms:W3CDTF">2025-11-14T23:07:59Z</dcterms:created>
  <dcterms:modified xsi:type="dcterms:W3CDTF">2026-04-18T01:19:18Z</dcterms:modified>
</cp:coreProperties>
</file>