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https://d.docs.live.net/1ef2d194797e50ac/Documents/Class/.Fall 2025^Mdissertation/"/>
    </mc:Choice>
  </mc:AlternateContent>
  <xr:revisionPtr revIDLastSave="853" documentId="13_ncr:9_{FB876BC5-3ABB-476B-A0F4-6BC02AAC7403}" xr6:coauthVersionLast="47" xr6:coauthVersionMax="47" xr10:uidLastSave="{8AE46053-AEA1-4D62-A5B2-B4A0F089E469}"/>
  <bookViews>
    <workbookView xWindow="-120" yWindow="-120" windowWidth="29040" windowHeight="15720" xr2:uid="{74919A6A-7420-48C6-A85B-26F2D16D088D}"/>
  </bookViews>
  <sheets>
    <sheet name="dataset3" sheetId="1" r:id="rId1"/>
    <sheet name="Hints"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T545" i="1" l="1"/>
  <c r="T544" i="1"/>
  <c r="F543" i="1"/>
  <c r="I544" i="1"/>
  <c r="I545" i="1"/>
  <c r="I543" i="1"/>
  <c r="N546" i="1"/>
  <c r="O546" i="1"/>
  <c r="P546" i="1"/>
  <c r="Q546" i="1"/>
  <c r="R546" i="1"/>
  <c r="S546" i="1"/>
  <c r="M546" i="1"/>
  <c r="P550" i="1"/>
  <c r="T558" i="1"/>
  <c r="N551" i="1"/>
  <c r="O551" i="1"/>
  <c r="P551" i="1"/>
  <c r="Q551" i="1"/>
  <c r="R551" i="1"/>
  <c r="S551" i="1"/>
  <c r="N552" i="1"/>
  <c r="O552" i="1"/>
  <c r="P552" i="1"/>
  <c r="Q552" i="1"/>
  <c r="R552" i="1"/>
  <c r="S552" i="1"/>
  <c r="N553" i="1"/>
  <c r="O553" i="1"/>
  <c r="P553" i="1"/>
  <c r="Q553" i="1"/>
  <c r="R553" i="1"/>
  <c r="S553" i="1"/>
  <c r="N554" i="1"/>
  <c r="O554" i="1"/>
  <c r="P554" i="1"/>
  <c r="Q554" i="1"/>
  <c r="R554" i="1"/>
  <c r="S554" i="1"/>
  <c r="N555" i="1"/>
  <c r="O555" i="1"/>
  <c r="P555" i="1"/>
  <c r="Q555" i="1"/>
  <c r="R555" i="1"/>
  <c r="S555" i="1"/>
  <c r="N556" i="1"/>
  <c r="O556" i="1"/>
  <c r="P556" i="1"/>
  <c r="Q556" i="1"/>
  <c r="R556" i="1"/>
  <c r="S556" i="1"/>
  <c r="N557" i="1"/>
  <c r="O557" i="1"/>
  <c r="P557" i="1"/>
  <c r="Q557" i="1"/>
  <c r="R557" i="1"/>
  <c r="S557" i="1"/>
  <c r="N558" i="1"/>
  <c r="O558" i="1"/>
  <c r="P558" i="1"/>
  <c r="Q558" i="1"/>
  <c r="R558" i="1"/>
  <c r="S558" i="1"/>
  <c r="M555" i="1"/>
  <c r="M558" i="1"/>
  <c r="M557" i="1"/>
  <c r="M556" i="1"/>
  <c r="M554" i="1"/>
  <c r="M553" i="1"/>
  <c r="M552" i="1"/>
  <c r="M551" i="1"/>
  <c r="N550" i="1"/>
  <c r="O550" i="1"/>
  <c r="Q550" i="1"/>
  <c r="R550" i="1"/>
  <c r="S550" i="1"/>
  <c r="M550" i="1"/>
  <c r="N549" i="1"/>
  <c r="O549" i="1"/>
  <c r="P549" i="1"/>
  <c r="Q549" i="1"/>
  <c r="R549" i="1"/>
  <c r="S549" i="1"/>
  <c r="M549" i="1"/>
  <c r="N548" i="1"/>
  <c r="O548" i="1"/>
  <c r="P548" i="1"/>
  <c r="Q548" i="1"/>
  <c r="R548" i="1"/>
  <c r="S548" i="1"/>
  <c r="M548" i="1"/>
  <c r="M547" i="1"/>
  <c r="N547" i="1"/>
  <c r="O547" i="1"/>
  <c r="P547" i="1"/>
  <c r="Q547" i="1"/>
  <c r="R547" i="1"/>
  <c r="S547" i="1"/>
  <c r="M545" i="1"/>
  <c r="K551" i="1"/>
  <c r="K552" i="1"/>
  <c r="K553" i="1"/>
  <c r="K554" i="1"/>
  <c r="K555" i="1"/>
  <c r="K556" i="1"/>
  <c r="K557" i="1"/>
  <c r="K558" i="1"/>
  <c r="K547" i="1"/>
  <c r="K548" i="1"/>
  <c r="K549" i="1"/>
  <c r="K550" i="1"/>
  <c r="K546" i="1"/>
  <c r="H544" i="1"/>
  <c r="H545" i="1"/>
  <c r="H543" i="1"/>
  <c r="G543" i="1"/>
  <c r="G544" i="1"/>
  <c r="G545" i="1"/>
  <c r="K395" i="1"/>
  <c r="K392" i="1"/>
  <c r="K389" i="1"/>
  <c r="K386" i="1"/>
  <c r="K383" i="1"/>
  <c r="K380" i="1"/>
  <c r="K20" i="1"/>
  <c r="K23" i="1"/>
  <c r="K26" i="1"/>
  <c r="K29" i="1"/>
  <c r="K32" i="1"/>
  <c r="K35" i="1"/>
  <c r="K38" i="1"/>
  <c r="K41" i="1"/>
  <c r="K44" i="1"/>
  <c r="L44" i="1" s="1"/>
  <c r="K47" i="1"/>
  <c r="K50" i="1"/>
  <c r="K53" i="1"/>
  <c r="K56" i="1"/>
  <c r="K59" i="1"/>
  <c r="L59" i="1" s="1"/>
  <c r="K62" i="1"/>
  <c r="L62" i="1" s="1"/>
  <c r="K65" i="1"/>
  <c r="L65" i="1" s="1"/>
  <c r="K68" i="1"/>
  <c r="L68" i="1" s="1"/>
  <c r="K71" i="1"/>
  <c r="L71" i="1" s="1"/>
  <c r="K74" i="1"/>
  <c r="L77" i="1" s="1"/>
  <c r="K77" i="1"/>
  <c r="K80" i="1"/>
  <c r="K83" i="1"/>
  <c r="K86" i="1"/>
  <c r="K89" i="1"/>
  <c r="K92" i="1"/>
  <c r="K95" i="1"/>
  <c r="K98" i="1"/>
  <c r="K101" i="1"/>
  <c r="K104" i="1"/>
  <c r="K107" i="1"/>
  <c r="K110" i="1"/>
  <c r="K113" i="1"/>
  <c r="K116" i="1"/>
  <c r="K119" i="1"/>
  <c r="K122" i="1"/>
  <c r="K125" i="1"/>
  <c r="K128" i="1"/>
  <c r="K131" i="1"/>
  <c r="K134" i="1"/>
  <c r="K137" i="1"/>
  <c r="K140" i="1"/>
  <c r="K143" i="1"/>
  <c r="K146" i="1"/>
  <c r="K149" i="1"/>
  <c r="L149" i="1" s="1"/>
  <c r="K152" i="1"/>
  <c r="L152" i="1" s="1"/>
  <c r="K155" i="1"/>
  <c r="L155" i="1" s="1"/>
  <c r="K158" i="1"/>
  <c r="L158" i="1" s="1"/>
  <c r="K161" i="1"/>
  <c r="L161" i="1" s="1"/>
  <c r="K164" i="1"/>
  <c r="L173" i="1" s="1"/>
  <c r="K167" i="1"/>
  <c r="K170" i="1"/>
  <c r="K173" i="1"/>
  <c r="K176" i="1"/>
  <c r="K179" i="1"/>
  <c r="K182" i="1"/>
  <c r="L191" i="1" s="1"/>
  <c r="K185" i="1"/>
  <c r="K188" i="1"/>
  <c r="K191" i="1"/>
  <c r="K194" i="1"/>
  <c r="K197" i="1"/>
  <c r="K200" i="1"/>
  <c r="K203" i="1"/>
  <c r="K206" i="1"/>
  <c r="K209" i="1"/>
  <c r="K212" i="1"/>
  <c r="K215" i="1"/>
  <c r="K218" i="1"/>
  <c r="K221" i="1"/>
  <c r="L221" i="1" s="1"/>
  <c r="K224" i="1"/>
  <c r="L224" i="1" s="1"/>
  <c r="K227" i="1"/>
  <c r="L227" i="1" s="1"/>
  <c r="K230" i="1"/>
  <c r="L230" i="1" s="1"/>
  <c r="K233" i="1"/>
  <c r="L233" i="1" s="1"/>
  <c r="K236" i="1"/>
  <c r="K239" i="1"/>
  <c r="K242" i="1"/>
  <c r="K245" i="1"/>
  <c r="K248" i="1"/>
  <c r="K251" i="1"/>
  <c r="K254" i="1"/>
  <c r="K257" i="1"/>
  <c r="K260" i="1"/>
  <c r="K263" i="1"/>
  <c r="K266" i="1"/>
  <c r="K269" i="1"/>
  <c r="K272" i="1"/>
  <c r="K275" i="1"/>
  <c r="K278" i="1"/>
  <c r="K281" i="1"/>
  <c r="K284" i="1"/>
  <c r="K287" i="1"/>
  <c r="K290" i="1"/>
  <c r="K293" i="1"/>
  <c r="L293" i="1" s="1"/>
  <c r="K296" i="1"/>
  <c r="K299" i="1"/>
  <c r="K302" i="1"/>
  <c r="K305" i="1"/>
  <c r="K308" i="1"/>
  <c r="K311" i="1"/>
  <c r="K314" i="1"/>
  <c r="K317" i="1"/>
  <c r="K320" i="1"/>
  <c r="K323" i="1"/>
  <c r="K326" i="1"/>
  <c r="K329" i="1"/>
  <c r="L329" i="1" s="1"/>
  <c r="K332" i="1"/>
  <c r="L332" i="1" s="1"/>
  <c r="K335" i="1"/>
  <c r="K338" i="1"/>
  <c r="K341" i="1"/>
  <c r="K344" i="1"/>
  <c r="K347" i="1"/>
  <c r="K350" i="1"/>
  <c r="L350" i="1" s="1"/>
  <c r="K353" i="1"/>
  <c r="L353" i="1" s="1"/>
  <c r="K356" i="1"/>
  <c r="L356" i="1" s="1"/>
  <c r="K359" i="1"/>
  <c r="K362" i="1"/>
  <c r="K365" i="1"/>
  <c r="K368" i="1"/>
  <c r="K371" i="1"/>
  <c r="K374" i="1"/>
  <c r="L374" i="1"/>
  <c r="K377" i="1"/>
  <c r="L377" i="1" s="1"/>
  <c r="K398" i="1"/>
  <c r="K401" i="1"/>
  <c r="K404" i="1"/>
  <c r="K407" i="1"/>
  <c r="K410" i="1"/>
  <c r="K413" i="1"/>
  <c r="K416" i="1"/>
  <c r="K419" i="1"/>
  <c r="K422" i="1"/>
  <c r="K425" i="1"/>
  <c r="K428" i="1"/>
  <c r="K431" i="1"/>
  <c r="K434" i="1"/>
  <c r="L449" i="1" s="1"/>
  <c r="K437" i="1"/>
  <c r="L437" i="1" s="1"/>
  <c r="K440" i="1"/>
  <c r="K443" i="1"/>
  <c r="L443" i="1" s="1"/>
  <c r="K446" i="1"/>
  <c r="K449" i="1"/>
  <c r="K452" i="1"/>
  <c r="K455" i="1"/>
  <c r="K458" i="1"/>
  <c r="K461" i="1"/>
  <c r="L461" i="1" s="1"/>
  <c r="K464" i="1"/>
  <c r="L464" i="1" s="1"/>
  <c r="K467" i="1"/>
  <c r="K470" i="1"/>
  <c r="K473" i="1"/>
  <c r="K476" i="1"/>
  <c r="K479" i="1"/>
  <c r="L479" i="1" s="1"/>
  <c r="K482" i="1"/>
  <c r="L482" i="1"/>
  <c r="K485" i="1"/>
  <c r="K488" i="1"/>
  <c r="K491" i="1"/>
  <c r="K494" i="1"/>
  <c r="K497" i="1"/>
  <c r="K500" i="1"/>
  <c r="K503" i="1"/>
  <c r="K506" i="1"/>
  <c r="K509" i="1"/>
  <c r="K512" i="1"/>
  <c r="K515" i="1"/>
  <c r="K518" i="1"/>
  <c r="K521" i="1"/>
  <c r="K524" i="1"/>
  <c r="K527" i="1"/>
  <c r="L527" i="1" s="1"/>
  <c r="K530" i="1"/>
  <c r="K533" i="1"/>
  <c r="L533" i="1" s="1"/>
  <c r="K536" i="1"/>
  <c r="K539" i="1"/>
  <c r="K17" i="1"/>
  <c r="K14" i="1"/>
  <c r="K11" i="1"/>
  <c r="K8" i="1"/>
  <c r="K5" i="1"/>
  <c r="K2" i="1"/>
  <c r="T550" i="1" l="1"/>
  <c r="L509" i="1"/>
  <c r="L194" i="1"/>
  <c r="L422" i="1"/>
  <c r="L359" i="1"/>
  <c r="L335" i="1"/>
  <c r="L311" i="1"/>
  <c r="L287" i="1"/>
  <c r="L239" i="1"/>
  <c r="L170" i="1"/>
  <c r="L5" i="1"/>
  <c r="L347" i="1"/>
  <c r="L251" i="1"/>
  <c r="L179" i="1"/>
  <c r="L134" i="1"/>
  <c r="L86" i="1"/>
  <c r="L11" i="1"/>
  <c r="L278" i="1"/>
  <c r="L248" i="1"/>
  <c r="L212" i="1"/>
  <c r="L176" i="1"/>
  <c r="L107" i="1"/>
  <c r="L269" i="1"/>
  <c r="L89" i="1"/>
  <c r="L245" i="1"/>
  <c r="L17" i="1"/>
  <c r="L365" i="1"/>
  <c r="L371" i="1"/>
  <c r="L35" i="1"/>
  <c r="L113" i="1"/>
  <c r="L305" i="1"/>
  <c r="L407" i="1"/>
  <c r="L323" i="1"/>
  <c r="L32" i="1"/>
  <c r="L338" i="1"/>
  <c r="L299" i="1"/>
  <c r="L539" i="1"/>
  <c r="L476" i="1"/>
  <c r="L425" i="1"/>
  <c r="L368" i="1"/>
  <c r="L188" i="1"/>
  <c r="L167" i="1"/>
  <c r="L53" i="1"/>
  <c r="L29" i="1"/>
  <c r="L521" i="1"/>
  <c r="L518" i="1"/>
  <c r="L428" i="1"/>
  <c r="L446" i="1"/>
  <c r="L341" i="1"/>
  <c r="L317" i="1"/>
  <c r="L275" i="1"/>
  <c r="L95" i="1"/>
  <c r="L83" i="1"/>
  <c r="L50" i="1"/>
  <c r="L26" i="1"/>
  <c r="L206" i="1"/>
  <c r="L47" i="1"/>
  <c r="L23" i="1"/>
  <c r="O544" i="1" s="1"/>
  <c r="L395" i="1"/>
  <c r="L392" i="1"/>
  <c r="L383" i="1"/>
  <c r="L386" i="1"/>
  <c r="K545" i="1"/>
  <c r="K543" i="1"/>
  <c r="K544" i="1"/>
  <c r="L536" i="1"/>
  <c r="L503" i="1"/>
  <c r="L314" i="1"/>
  <c r="L296" i="1"/>
  <c r="L257" i="1"/>
  <c r="L203" i="1"/>
  <c r="L131" i="1"/>
  <c r="L41" i="1"/>
  <c r="L530" i="1"/>
  <c r="L515" i="1"/>
  <c r="L497" i="1"/>
  <c r="L458" i="1"/>
  <c r="L440" i="1"/>
  <c r="L401" i="1"/>
  <c r="L197" i="1"/>
  <c r="L125" i="1"/>
  <c r="L104" i="1"/>
  <c r="L8" i="1"/>
  <c r="N545" i="1" s="1"/>
  <c r="L494" i="1"/>
  <c r="L455" i="1"/>
  <c r="L419" i="1"/>
  <c r="L215" i="1"/>
  <c r="L143" i="1"/>
  <c r="L101" i="1"/>
  <c r="L14" i="1"/>
  <c r="L512" i="1"/>
  <c r="L491" i="1"/>
  <c r="L473" i="1"/>
  <c r="L140" i="1"/>
  <c r="L119" i="1"/>
  <c r="L98" i="1"/>
  <c r="L320" i="1"/>
  <c r="L302" i="1"/>
  <c r="L284" i="1"/>
  <c r="L263" i="1"/>
  <c r="L242" i="1"/>
  <c r="L137" i="1"/>
  <c r="L500" i="1"/>
  <c r="L485" i="1"/>
  <c r="L467" i="1"/>
  <c r="L431" i="1"/>
  <c r="L389" i="1"/>
  <c r="L281" i="1"/>
  <c r="L209" i="1"/>
  <c r="L80" i="1"/>
  <c r="L122" i="1"/>
  <c r="L185" i="1"/>
  <c r="L410" i="1"/>
  <c r="L404" i="1"/>
  <c r="L260" i="1"/>
  <c r="L116" i="1"/>
  <c r="L266" i="1"/>
  <c r="L413" i="1"/>
  <c r="L544" i="1" l="1"/>
  <c r="R544" i="1"/>
  <c r="Q545" i="1"/>
  <c r="N544" i="1"/>
  <c r="Q544" i="1"/>
  <c r="P545" i="1"/>
  <c r="M544" i="1"/>
  <c r="P544" i="1"/>
  <c r="S545" i="1"/>
  <c r="O545" i="1"/>
  <c r="S544" i="1"/>
  <c r="L545" i="1"/>
  <c r="R545" i="1"/>
</calcChain>
</file>

<file path=xl/sharedStrings.xml><?xml version="1.0" encoding="utf-8"?>
<sst xmlns="http://schemas.openxmlformats.org/spreadsheetml/2006/main" count="3244" uniqueCount="1268">
  <si>
    <t>ID</t>
  </si>
  <si>
    <t>input</t>
  </si>
  <si>
    <t>input_token</t>
  </si>
  <si>
    <t>output</t>
  </si>
  <si>
    <t>correctness</t>
  </si>
  <si>
    <t>inference_time</t>
  </si>
  <si>
    <t>total_token_generated</t>
  </si>
  <si>
    <t>1z1</t>
  </si>
  <si>
    <t>User: Solve this puzzle: There are 3 dolls on the table, red, yellow, green, each with a key inside of it. Only one key is the correct key. There is a note that said "Blue + Yellow". Where is the correct key?
Do not explain. Just give me the answer.
AI:</t>
  </si>
  <si>
    <t xml:space="preserve"> The correct key is inside the green doll.</t>
  </si>
  <si>
    <t>1z2</t>
  </si>
  <si>
    <t xml:space="preserve"> The correct key is inside the yellow doll.</t>
  </si>
  <si>
    <t>1z3</t>
  </si>
  <si>
    <t>1r1</t>
  </si>
  <si>
    <t>User: Solve this puzzle: Scenario:
There are 3 dolls on the table, red, yellow, green, each with a key inside of it.
Clues:
1. Only one key is the correct key.
2. There is a note that said "Blue + Yellow".
Question:
Where is the correct key?
Do not explain. Just give me the answer.
AI:</t>
  </si>
  <si>
    <t>1r2</t>
  </si>
  <si>
    <t xml:space="preserve"> The correct key is in the green doll.</t>
  </si>
  <si>
    <t>1r3</t>
  </si>
  <si>
    <t xml:space="preserve"> The correct key is in the yellow doll.</t>
  </si>
  <si>
    <t>1x1</t>
  </si>
  <si>
    <t>User: Solve this puzzle: Scenario:
There are 3 dolls on a table, each with a different color and a key inside. The colors are red, yellow, and green. One of these keys is the right key. A note says "Blue + Yellow".
Clues:
1. The note's instructions involve combining two colors.
2. The correct key is related to the note's instructions.
Question:
Which doll has the correct key?
Do not explain. Just give me the answer.
AI:</t>
  </si>
  <si>
    <t xml:space="preserve"> Green</t>
  </si>
  <si>
    <t>1x2</t>
  </si>
  <si>
    <t>User: Solve this puzzle: Scenario:
There are 3 dolls on a table, each with a different color and a key inside. One of these keys is the right key. A note mentions "Blue + Yellow".
Clues:
1. The colors of the dolls are red, yellow, and green.
2. The note's combination is related to the colors of the dolls.
Question:
Which doll has the correct key?
Do not explain. Just give me the answer.
AI:</t>
  </si>
  <si>
    <t xml:space="preserve"> The doll with the right key is the one with yellow color.</t>
  </si>
  <si>
    <t>1x3</t>
  </si>
  <si>
    <t>User: Solve this puzzle: Scenario:
There are 3 dolls on a table - red, yellow, and green. Each doll has a key inside it. One of these keys is the correct key. A note says "Blue + Yellow".
Clues:
1. The correct key is related to the note.
2. The note mentions two colors.
Question:
Which doll has the correct key?
Do not explain. Just give me the answer.
AI:</t>
  </si>
  <si>
    <t>1a1</t>
  </si>
  <si>
    <t>User: Solve this puzzle: There are 3 dolls on the table, red, yellow, green, each with a key inside of it. Only one key is the correct key. There is a note that said "Blue + Yellow". Where is the correct key?
Use the hint of: Pacific, North Carolina, and Pennsylvania have this in common.
Do not explain. Just give me the answer.
AI:</t>
  </si>
  <si>
    <t>1a2</t>
  </si>
  <si>
    <t>1a3</t>
  </si>
  <si>
    <t xml:space="preserve"> The correct key is inside the Green doll since the hint mentions 'Pacific, North Carolina, and Pennsylvania' which are states or regions in the U.S. The term "Blue + Yellow" can be interpreted as combining two colors to create a new one. In the color wheel, blue and yellow make green, making 'Green' the relevant color associated with one of these regions.</t>
  </si>
  <si>
    <t>1b1</t>
  </si>
  <si>
    <t>User: Solve this puzzle: There are 3 dolls on the table, red, yellow, green, each with a key inside of it. Only one key is the correct key. There is a note that said "Blue + Yellow". Where is the correct key?
Use the hint of: This doll has modern day currency.
Do not explain. Just give me the answer.
AI:</t>
  </si>
  <si>
    <t>1b2</t>
  </si>
  <si>
    <t xml:space="preserve"> The correct key is in the yellow doll since the hint "Blue + Yellow" adds blue to yellow, resulting in the color green which is associated with the green doll. However, considering there is a doll with modern day currency (the green doll), the most likely correct key would be in the green doll. So the correct key could either be in the green or yellow doll depending on the interpretation.</t>
  </si>
  <si>
    <t>1b3</t>
  </si>
  <si>
    <t xml:space="preserve"> The correct key is in the Green doll.</t>
  </si>
  <si>
    <t>1c1</t>
  </si>
  <si>
    <t>User: Solve this puzzle: There are 3 dolls on the table, red, yellow, green, each with a key inside of it. Only one key is the correct key. There is a note that said "Blue + Yellow". Where is the correct key?
Use the hint of: Mix the colors
Do not explain. Just give me the answer.
AI:</t>
  </si>
  <si>
    <t xml:space="preserve"> The correct key is in the green doll as Red + Yellow would be Blue (which doesn't have a corresponding doll) and then adding Yellow to Blue gives Green.</t>
  </si>
  <si>
    <t>1c2</t>
  </si>
  <si>
    <t>1c3</t>
  </si>
  <si>
    <t xml:space="preserve"> Mix the colors means to consider the result of combining two colors mentioned in the note - Blue and Yellow. So, when you add these two colors (Blue + Yellow), you get the color Green. The correct key is in the green-colored doll.</t>
  </si>
  <si>
    <t>2z1</t>
  </si>
  <si>
    <t>User: Solve this puzzle: There are 3 dolls on the table, red, purple, green, each with a key inside of it. Only one key is the correct key. There is a note that said "Blue + Yellow". Where is the correct key?
Do not explain. Just give me the answer.
AI:</t>
  </si>
  <si>
    <t xml:space="preserve"> The correct key is with the red doll. Blue + Yellow refers to the colors of the other two dolls, which are purple and green respectively.</t>
  </si>
  <si>
    <t>2z2</t>
  </si>
  <si>
    <t xml:space="preserve"> The correct key is inside the red doll.</t>
  </si>
  <si>
    <t>2z3</t>
  </si>
  <si>
    <t xml:space="preserve"> The correct key is inside the red doll. Blue + Yellow indicates mixing two colors to create Red (Red = Blue + Yellow).</t>
  </si>
  <si>
    <t>2r1</t>
  </si>
  <si>
    <t>User: Solve this puzzle: Scenario:
There are 3 dolls on the table, red, purple, green, each with a key inside of it.
Clues:
1. Only one key is the correct key.
2. There is a note that said "Blue + Yellow".
Question:
Where is the correct key?
Do not explain. Just give me the answer.
AI:</t>
  </si>
  <si>
    <t>2r2</t>
  </si>
  <si>
    <t>2r3</t>
  </si>
  <si>
    <t>2x1</t>
  </si>
  <si>
    <t>User: Solve this puzzle: Scenario:
There are 3 dolls on the table, each with a key inside. One of them has the correct key. The note says "Blue + Yellow".
Clues:
1. The colors of the dolls are red, purple, and green.
2. The note's words are "Blue" and "Yellow".
Question:
Which doll has the correct key?
Do not explain. Just give me the answer.
AI:</t>
  </si>
  <si>
    <t>2x2</t>
  </si>
  <si>
    <t>User: Solve this puzzle: Scenario:
There are 3 dolls on the table, each with a different color and a key inside. One of these keys is the correct key. A note mentions "Blue + Yellow".
Clues:
1. The colors of the dolls are red, purple, and green.
2. The note's "Blue" and "Yellow" are not related to the colors of the dolls.
Question:
Which doll has the correct key?
Do not explain. Just give me the answer.
AI:</t>
  </si>
  <si>
    <t xml:space="preserve"> Blue doll</t>
  </si>
  <si>
    <t>2x3</t>
  </si>
  <si>
    <t>User: Solve this puzzle: Scenario:
There are 3 dolls on the table, each with a different color and a key inside. One of these keys is the correct key. A note mentions "Blue + Yellow".
Clues:
1. The colors of the dolls are red, purple, and green.
2. The note's Blue refers to a color, while Yellow refers to another color.
Question:
Which doll has the correct key?
Do not explain. Just give me the answer.
AI:</t>
  </si>
  <si>
    <t xml:space="preserve"> Red doll</t>
  </si>
  <si>
    <t>2a1</t>
  </si>
  <si>
    <t>User: Solve this puzzle: There are 3 dolls on the table, red, purple, green, each with a key inside of it. Only one key is the correct key. There is a note that said "Blue + Yellow". Where is the correct key?
Use the hint of: This doll has modern day currency.
Do not explain. Just give me the answer.
AI:</t>
  </si>
  <si>
    <t xml:space="preserve"> The correct key is in the red doll.</t>
  </si>
  <si>
    <t>2a2</t>
  </si>
  <si>
    <t xml:space="preserve"> The correct key is likely in the green doll as the hint points to modern day currency, which typically involves money or coins, and green symbolizes money.</t>
  </si>
  <si>
    <t>2a3</t>
  </si>
  <si>
    <t>2b1</t>
  </si>
  <si>
    <t>User: Solve this puzzle: There are 3 dolls on the table, red, purple, green, each with a key inside of it. Only one key is the correct key. There is a note that said "Blue + Yellow". Where is the correct key?
Use the hint of: If you can see in night vision, you can see this doll.
Do not explain. Just give me the answer.
AI:</t>
  </si>
  <si>
    <t xml:space="preserve"> The correct key is not mentioned in the given information.</t>
  </si>
  <si>
    <t>2b2</t>
  </si>
  <si>
    <t>2b3</t>
  </si>
  <si>
    <t xml:space="preserve"> The correct key might be in the blue-yellow combination of the dolls, which could be either the red (blue) and purple (yellow) or purple (blue) and green (yellow). Without further context, we cannot determine the exact location of the correct key.</t>
  </si>
  <si>
    <t>2c1</t>
  </si>
  <si>
    <t>User: Solve this puzzle: There are 3 dolls on the table, red, purple, green, each with a key inside of it. Only one key is the correct key. There is a note that said "Blue + Yellow". Where is the correct key?
Use the hint of: This is a plants favorite color.
Do not explain. Just give me the answer.
AI:</t>
  </si>
  <si>
    <t xml:space="preserve"> The correct key is inside the green doll as it represents the color green which is the sum of blue and yellow.</t>
  </si>
  <si>
    <t>2c2</t>
  </si>
  <si>
    <t xml:space="preserve"> The correct key is inside the green doll since it has the color combination of Blue and Yellow as mentioned in the hint. It relates to the plant called Caladium which has blue-green leaves and yellow veins. This represents both blue and yellow colors.</t>
  </si>
  <si>
    <t>2c3</t>
  </si>
  <si>
    <t>3z1</t>
  </si>
  <si>
    <t>User: Solve this puzzle: You are in a hallway with 3 doors, number 1, 2 and 4. A sign on the wall says: "The correct exit is quite odd". Which is the correct door?
Do not explain. Just give me the answer.
AI:</t>
  </si>
  <si>
    <t xml:space="preserve"> The correct door is Door 4.</t>
  </si>
  <si>
    <t>3z2</t>
  </si>
  <si>
    <t xml:space="preserve"> The correct door is number 4.</t>
  </si>
  <si>
    <t>3z3</t>
  </si>
  <si>
    <t xml:space="preserve"> Door 4</t>
  </si>
  <si>
    <t>3r1</t>
  </si>
  <si>
    <t>User: Solve this puzzle: Scenario:
You are in a hallway with 3 doors, number 1, 2 and 4.
Clues:
1. A sign on the wall says: "The correct exit is quite odd".
Question:
Which is the correct door?
Do not explain. Just give me the answer.
AI:</t>
  </si>
  <si>
    <t xml:space="preserve"> The correct door is Door 3, which is not mentioned.</t>
  </si>
  <si>
    <t>3r2</t>
  </si>
  <si>
    <t>3r3</t>
  </si>
  <si>
    <t xml:space="preserve"> The correct door is number 3.</t>
  </si>
  <si>
    <t>3x1</t>
  </si>
  <si>
    <t>User: Solve this puzzle: Scenario:
In a hallway with 3 doors (1, 2, and 4) and a sign saying "The correct exit is quite odd", you need to find the right door to leave.
Clues:
1. The sign's meaning is not straightforward.
2. The correct exit might be unexpected.
...
Question:
Which door should you choose to leave the hallway?
Do not explain. Just give me the answer.
AI:</t>
  </si>
  <si>
    <t xml:space="preserve"> Choose door 3.</t>
  </si>
  <si>
    <t>3x2</t>
  </si>
  <si>
    <t>User: Solve this puzzle: Scenario:
In a hallway with 3 doors (1, 2, and 4) and a sign that says "The correct exit is quite odd", you need to find the right door to leave.
Clues:
1. The sign's meaning is not straightforward.
2. The correct exit might be unexpected.
Question:
Which door should you choose to leave the hallway?
Do not explain. Just give me the answer.
AI:</t>
  </si>
  <si>
    <t xml:space="preserve"> To leave the hallway, choose door 3.</t>
  </si>
  <si>
    <t>3x3</t>
  </si>
  <si>
    <t>User: Solve this puzzle: Scenario:
In a hallway with 3 doors (1, 2, and 4) and a sign saying "The correct exit is quite odd", you need to find the right door to leave.
Clues:
1. The sign's meaning is not straightforward.
2. The correct exit might be the one that doesn't seem like a typical exit.
Question:
Which door should you choose to leave the hallway?
Do not explain. Just give me the answer.
AI:</t>
  </si>
  <si>
    <t>3a1</t>
  </si>
  <si>
    <t>User: Solve this puzzle: You are in a hallway with 3 doors, number 1, 2 and 4. A sign on the wall says: "The correct exit is quite odd". Which is the correct door?
Use the hint of: The red numberblock lives here.
Do not explain. Just give me the answer.
AI:</t>
  </si>
  <si>
    <t xml:space="preserve"> Door 3</t>
  </si>
  <si>
    <t>3a2</t>
  </si>
  <si>
    <t>3a3</t>
  </si>
  <si>
    <t>3b1</t>
  </si>
  <si>
    <t>User: Solve this puzzle: You are in a hallway with 3 doors, number 1, 2 and 4. A sign on the wall says: "The correct exit is quite odd". Which is the correct door?
Use the hint of: This is the "trueest" place to live.
Do not explain. Just give me the answer.
AI:</t>
  </si>
  <si>
    <t>3b2</t>
  </si>
  <si>
    <t xml:space="preserve"> The correct door is Door 3, as it represents "odd" in the given context.</t>
  </si>
  <si>
    <t>3b3</t>
  </si>
  <si>
    <t xml:space="preserve"> The correct door is number 1 as it is oddly numbered and has a unique number in the sequence of doors. Additionally, the phrase "the trueest place to live" might imply that door 1 could represent a more genuine or authentic experience compared to the other two more standard doors.</t>
  </si>
  <si>
    <t>3c1</t>
  </si>
  <si>
    <t>User: Solve this puzzle: You are in a hallway with 3 doors, number 1, 2 and 4. A sign on the wall says: "The correct exit is quite odd". Which is the correct door?
Use the hint of: You definately live alone.
Do not explain. Just give me the answer.
AI:</t>
  </si>
  <si>
    <t xml:space="preserve"> The correct door might be Door 3 (not mentioned) since it's an odd number and being alone could imply that you are comfortable with odd situations. However, there is no definitive answer without more context or clues.</t>
  </si>
  <si>
    <t>3c2</t>
  </si>
  <si>
    <t xml:space="preserve"> The correct door could be Door 3 since it's not explicitly mentioned, making it "odd" to consider the other options. However, we're only using your given hint about living alone, so there might not be a definitive answer based solely on this context.</t>
  </si>
  <si>
    <t>3c3</t>
  </si>
  <si>
    <t xml:space="preserve"> The correct exit is Door 3.</t>
  </si>
  <si>
    <t>4z1</t>
  </si>
  <si>
    <t>User: Solve this puzzle: There is one ceiling light and 3 switches: A, B, and C. You are told that only one switch works, and it is NOT switch B. The working switch is next to switch A. Which switch turns on the light?
Do not explain. Just give me the answer.
AI:</t>
  </si>
  <si>
    <t xml:space="preserve"> Switch A</t>
  </si>
  <si>
    <t>4z2</t>
  </si>
  <si>
    <t>4z3</t>
  </si>
  <si>
    <t xml:space="preserve"> Switch C</t>
  </si>
  <si>
    <t>4r1</t>
  </si>
  <si>
    <t>User: Solve this puzzle: Scenario:
There is one ceiling light and 3 switches: A, B, and C.
Clues:
1. You are told that only one switch works, and it is NOT switch B.
2. The working switch is next to switch A.
Question:
Which switch turns on the light?
Do not explain. Just give me the answer.
AI:</t>
  </si>
  <si>
    <t>4r2</t>
  </si>
  <si>
    <t xml:space="preserve"> A</t>
  </si>
  <si>
    <t>4r3</t>
  </si>
  <si>
    <t>4x1</t>
  </si>
  <si>
    <t>User: Solve this puzzle: Scenario:
There is a single ceiling light and 3 switches - A, B, and C. Only one of them works, and it's not switch B. The working switch is located near switch A.
Clues:
1. The working switch is not switch B.
2. The working switch is next to switch A.
Question:
Which switch turns on the light?
Do not explain. Just give me the answer.
AI:</t>
  </si>
  <si>
    <t>4x2</t>
  </si>
  <si>
    <t>User: Solve this puzzle: Scenario: There is a room with a single ceiling light and 3 switches labeled A, B, and C.
Clues:
1. Only one of the switches works.
2. The working switch is not switch B.
3. The working switch is next to switch A.
Question: Which switch turns on the light?
Do not explain. Just give me the answer.
AI:</t>
  </si>
  <si>
    <t>4x3</t>
  </si>
  <si>
    <t>User: Solve this puzzle: Scenario:
There is a ceiling light and 3 switches (A, B, and C) near it.
Clues:
1. Only one of the switches works.
2. The working switch is not switch B.
3. The working switch is next to switch A.
Question:
Which switch turns on the light?
Do not explain. Just give me the answer.
AI:</t>
  </si>
  <si>
    <t xml:space="preserve"> Switch A turns on the light.</t>
  </si>
  <si>
    <t>4a1</t>
  </si>
  <si>
    <t>User: Solve this puzzle: There is one ceiling light and 3 switches: A, B, and C. You are told that only one switch works, and it is NOT switch B. The working switch is next to switch A. Which switch turns on the light?
Use the hint of: This light produces gamma rays.
Do not explain. Just give me the answer.
AI:</t>
  </si>
  <si>
    <t>4a2</t>
  </si>
  <si>
    <t xml:space="preserve"> Answer: Switch A</t>
  </si>
  <si>
    <t>4a3</t>
  </si>
  <si>
    <t xml:space="preserve"> C</t>
  </si>
  <si>
    <t>4b1</t>
  </si>
  <si>
    <t>User: Solve this puzzle: There is one ceiling light and 3 switches: A, B, and C. You are told that only one switch works, and it is NOT switch B. The working switch is next to switch A. Which switch turns on the light?
Use the hint of: This switch requires dioxide to help plants.
Do not explain. Just give me the answer.
AI:</t>
  </si>
  <si>
    <t>4b2</t>
  </si>
  <si>
    <t xml:space="preserve"> The answer is switch A.</t>
  </si>
  <si>
    <t>4b3</t>
  </si>
  <si>
    <t>4c1</t>
  </si>
  <si>
    <t>User: Solve this puzzle: There is one ceiling light and 3 switches: A, B, and C. You are told that only one switch works, and it is NOT switch B. The working switch is next to switch A. Which switch turns on the light?
Use the hint of: This switch should be used 0011 times.
Do not explain. Just give me the answer.
AI:</t>
  </si>
  <si>
    <t>4c2</t>
  </si>
  <si>
    <t>4c3</t>
  </si>
  <si>
    <t>5z1</t>
  </si>
  <si>
    <t>User: Solve this puzzle: On a counter sit three cups labeled Tea, Juice, and Ice water. You are told that the key is taped under the cup that should feel the warmest to the touch. Where is the key?
Do not explain. Just give me the answer.
AI:</t>
  </si>
  <si>
    <t xml:space="preserve"> The key is under the Cup of Tea.</t>
  </si>
  <si>
    <t>5z2</t>
  </si>
  <si>
    <t xml:space="preserve"> The key is under the Cup of Juice.</t>
  </si>
  <si>
    <t>5z3</t>
  </si>
  <si>
    <t xml:space="preserve"> The key is under the Ice Water cup.</t>
  </si>
  <si>
    <t>5r1</t>
  </si>
  <si>
    <t>User: Solve this puzzle: Scenario:
On a counter sit three cups labeled Tea, Juice, and Ice water.
Clues:
1. You are told that the key is taped under the cup that should feel the warmest to the touch.
Question:
Where is the key?
Do not explain. Just give me the answer.
AI:</t>
  </si>
  <si>
    <t xml:space="preserve"> The key is under the Ice water cup.</t>
  </si>
  <si>
    <t>5r2</t>
  </si>
  <si>
    <t xml:space="preserve"> The key is under the Cup: Ice Water.</t>
  </si>
  <si>
    <t>5r3</t>
  </si>
  <si>
    <t xml:space="preserve"> The key is under the cup labeled Tea.</t>
  </si>
  <si>
    <t>5x1</t>
  </si>
  <si>
    <t>User: Solve this puzzle: Scenario:
There are three cups on a counter with labels Tea, Juice, and Ice water. The key is hidden under one of these cups.
Clues:
1. The cup with the warmest temperature will be the one that should have the key under it.
2. The temperature of the cups depends on their contents.
...
Question:
Which cup should you look under for the key?
Do not explain. Just give me the answer.
AI:</t>
  </si>
  <si>
    <t xml:space="preserve"> The cup with Ice water</t>
  </si>
  <si>
    <t>5x2</t>
  </si>
  <si>
    <t>User: Solve this puzzle: Scenario:
There are three cups on a counter with labels Tea, Juice, and Ice water. The key is hidden under one of the cups.
Clues:
1. The cup with the label Tea is cold.
2. The cup with the label Juice is colder than the Tea cup.
3. The cup with the label Ice water is the coldest.
Question:
Which cup should you choose to find the key?
Do not explain. Just give me the answer.
AI:</t>
  </si>
  <si>
    <t xml:space="preserve"> Choose the cup with the label Ice water.</t>
  </si>
  <si>
    <t>5x3</t>
  </si>
  <si>
    <t>User: Solve this puzzle: Scenario:
There are three cups on a counter with labels Tea, Juice, and Ice water. The key is hidden under one of these cups.
Clues:
1. The cup with the warmest temperature will be the one that should have the key.
2. The temperature of the cups depends on their contents.
Question:
Which cup should you choose to find the key?
Do not explain. Just give me the answer.
AI:</t>
  </si>
  <si>
    <t xml:space="preserve"> Choose the cup with Tea.</t>
  </si>
  <si>
    <t>5a1</t>
  </si>
  <si>
    <t>User: Solve this puzzle: On a counter sit three cups labeled Tea, Juice, and Ice water. You are told that the key is taped under the cup that should feel the warmest to the touch. Where is the key?
Use the hint of: The English always make time for this during discussions.
Do not explain. Just give me the answer.
AI:</t>
  </si>
  <si>
    <t xml:space="preserve"> The key is under the Tea cup.</t>
  </si>
  <si>
    <t>5a2</t>
  </si>
  <si>
    <t xml:space="preserve"> The cup with Ice water should feel the coldest to the touch among Tea, Juice, and Ice water. The warmest one would be Tea or Juice. Since the hint mentioned "during discussions," which implies a social event where tea drinking is common, it's more likely the key is under the Tea cup.</t>
  </si>
  <si>
    <t>5a3</t>
  </si>
  <si>
    <t xml:space="preserve"> The Ice Water cup should feel the coolest among the cups and be opposite in temperature compared to the warmer ones, but as per the given context, the one feeling warmer to the touch corresponds with the activity mentioned in the hint which refers to 'discussions' and having something warm or hot to drink during those, hence, it's most likely the Tea cup has the key taped underneath it.</t>
  </si>
  <si>
    <t>5b1</t>
  </si>
  <si>
    <t>User: Solve this puzzle: On a counter sit three cups labeled Tea, Juice, and Ice water. You are told that the key is taped under the cup that should feel the warmest to the touch. Where is the key?
Use the hint of: Blakc, Earl, and Grey.
Do not explain. Just give me the answer.
AI:</t>
  </si>
  <si>
    <t>5b2</t>
  </si>
  <si>
    <t>5b3</t>
  </si>
  <si>
    <t xml:space="preserve"> The key is under the 'Tea' cup.</t>
  </si>
  <si>
    <t>5c1</t>
  </si>
  <si>
    <t>User: Solve this puzzle: On a counter sit three cups labeled Tea, Juice, and Ice water. You are told that the key is taped under the cup that should feel the warmest to the touch. Where is the key?
Use the hint of: Not coffee.
Do not explain. Just give me the answer.
AI:</t>
  </si>
  <si>
    <t xml:space="preserve"> The Ice water will feel the coldest to the touch among tea, juice, and ice water. So the key is taped under the Cup with 'Ice Water' label.</t>
  </si>
  <si>
    <t>5c2</t>
  </si>
  <si>
    <t xml:space="preserve"> The key is taped under the Ice Water cup.</t>
  </si>
  <si>
    <t>5c3</t>
  </si>
  <si>
    <t>6z1</t>
  </si>
  <si>
    <t>User: Solve this puzzle: You see three boxes on a table: red, blue, and brown. A note says "Prize is not in a primary color box", where is the prize?
Do not explain. Just give me the answer.
AI:</t>
  </si>
  <si>
    <t xml:space="preserve"> The prize is not in a primary color box since red, blue, and brown are secondary colors.</t>
  </si>
  <si>
    <t>6z2</t>
  </si>
  <si>
    <t xml:space="preserve"> The prize is not in the red (primary color), blue (primary color), or brown (not primary color) box. So, it might be in any of these two boxes but not in the primary color ones.</t>
  </si>
  <si>
    <t>6z3</t>
  </si>
  <si>
    <t xml:space="preserve"> The prize is not in the red, blue, or brown boxes since all of these colors are primary colors. So, the prize could be in any other color box not present on the table. It's impossible to determine without more information about the available colors in non-primary boxes.</t>
  </si>
  <si>
    <t>6r1</t>
  </si>
  <si>
    <t>User: Solve this puzzle: Scenario:
You see three boxes on a table: red, blue, and brown.
Question:
A note says "Prize is not in a primary color box", where is the prize?
Do not explain. Just give me the answer.
AI:</t>
  </si>
  <si>
    <t xml:space="preserve"> The prize is not in the red, blue, or brown box, as they are all secondary colors. A primary color must be chosen for the prize to be in.</t>
  </si>
  <si>
    <t>6r2</t>
  </si>
  <si>
    <t xml:space="preserve"> The prize is in either the red, blue, or brown box as they are secondary colors.</t>
  </si>
  <si>
    <t>6r3</t>
  </si>
  <si>
    <t xml:space="preserve"> The prize is not in the red, blue, or brown boxes as they are all secondary colors. Therefore, it could be in a different place not mentioned.</t>
  </si>
  <si>
    <t>6x1</t>
  </si>
  <si>
    <t>User: Solve this puzzle: Scenario:
There are three boxes on a table - red, blue, and brown. The note mentions that the prize is not in a box with a primary color.
Clues:
1. Primary colors are red, blue, and yellow.
2. The prize is in one of the three boxes.
Question:
In which box can you find the prize?
Do not explain. Just give me the answer.
AI:</t>
  </si>
  <si>
    <t xml:space="preserve"> Yellow box</t>
  </si>
  <si>
    <t>6x2</t>
  </si>
  <si>
    <t>User: Solve this puzzle: Scenario:
There are three boxes on a table - red, blue, and brown. A note mentions that the prize is not in a box with a primary color.
Clues:
1. Primary colors are red, blue, and yellow.
2. The prize is in one of the three boxes.
Question:
In which box can you find the prize?
Do not explain. Just give me the answer.
AI:</t>
  </si>
  <si>
    <t xml:space="preserve"> Brown</t>
  </si>
  <si>
    <t>6x3</t>
  </si>
  <si>
    <t>User: Solve this puzzle: Scenario:
There are three boxes on a table - red, blue, and brown. The note mentions that the prize is not in a box with a primary color.
Clues:
1. Primary colors are red, blue, and yellow.
2. Brown is not a primary color.
Question:
In which box can you find the prize?
Do not explain. Just give me the answer.
AI:</t>
  </si>
  <si>
    <t xml:space="preserve"> Yellow</t>
  </si>
  <si>
    <t>6a1</t>
  </si>
  <si>
    <t>User: Solve this puzzle: You see three boxes on a table: red, blue, and brown. A note says "Prize is not in a primary color box", where is the prize?
Use the hint of: Not on the rainbow, but always on the ground.
Do not explain. Just give me the answer.
AI:</t>
  </si>
  <si>
    <t xml:space="preserve"> The prize is in the brown box since it's a secondary color and not a part of the primary colors (red, blue, yellow) on the rainbow. It is also mentioned to be 'on the ground', which could mean that it belongs to the earthy tone of the brown color.</t>
  </si>
  <si>
    <t>6a2</t>
  </si>
  <si>
    <t xml:space="preserve"> The prize is in the brown box, which is not a primary color (red, blue, or yellow).</t>
  </si>
  <si>
    <t>6a3</t>
  </si>
  <si>
    <t xml:space="preserve"> The prize is in the brown box since brown is a secondary color, while red and blue are primary colors.</t>
  </si>
  <si>
    <t>6b1</t>
  </si>
  <si>
    <t>User: Solve this puzzle: You see three boxes on a table: red, blue, and brown. A note says "Prize is not in a primary color box", where is the prize?
Use the hint of: Almost Black
Do not explain. Just give me the answer.
AI:</t>
  </si>
  <si>
    <t xml:space="preserve"> The prize is in the brown box.</t>
  </si>
  <si>
    <t>6b2</t>
  </si>
  <si>
    <t xml:space="preserve"> The prize is not in the red, blue, or brown box (primary colors) as they are not almost black. This implies that the prize could be in the almost black-colored box.</t>
  </si>
  <si>
    <t>6b3</t>
  </si>
  <si>
    <t xml:space="preserve"> The prize is likely in the brown box since it is close to black, which is not considered a primary color. However, without more context or additional clues, there's still a slight chance that the prize could be in either the red or blue boxes.</t>
  </si>
  <si>
    <t>6c1</t>
  </si>
  <si>
    <t>User: Solve this puzzle: You see three boxes on a table: red, blue, and brown. A note says "Prize is not in a primary color box", where is the prize?
Use the hint of: The power rangers missed this ranger.
Do not explain. Just give me the answer.
AI:</t>
  </si>
  <si>
    <t xml:space="preserve"> The prize is not in the red, blue, or brown boxes as they are not primary colors. Since power rangers have a primary color team with yellow, the missing ranger would be related to that color, meaning the prize might be in the yellow-colored box. However, no such color was provided among the options given, making it impossible to determine the exact location of the prize.</t>
  </si>
  <si>
    <t>6c2</t>
  </si>
  <si>
    <t xml:space="preserve"> Since the given information talks about colors and the power rangers, we can infer that the colors are related to the rangers (red, blue, and black/brown). The red and blue are primary colors and the remaining (brown) is not a primary color. So, the prize should be in the brown-colored box.</t>
  </si>
  <si>
    <t>6c3</t>
  </si>
  <si>
    <t xml:space="preserve"> The prize is not in the red, blue, or brown box, as these are all primary colors. The reference to 'the ranger' from the power rangers implies that a missing color should be considered, which could be a secondary color like green. So, we can deduce that the prize is most likely in the green box (if it exists) since it's not a primary color and hasn't been accounted for in the given information.</t>
  </si>
  <si>
    <t>7z1</t>
  </si>
  <si>
    <t>User: Solve this puzzle: There are three doors: A, B and C. A sign reads: "The alarm is connected to exactly one door. Door A is safe. Door B is NOT safe." Which door can you safely use to exit without triggering an alarm?
Do not explain. Just give me the answer.
AI:</t>
  </si>
  <si>
    <t xml:space="preserve"> Door C</t>
  </si>
  <si>
    <t>7z2</t>
  </si>
  <si>
    <t>7z3</t>
  </si>
  <si>
    <t>7r1</t>
  </si>
  <si>
    <t>User: Solve this puzzle: Scenario:
There are three doors: A, B and C.
Clues:
1. A sign reads: "The alarm is connected to exactly one door.
2. Door A is safe.
Question:
Door B is NOT safe." Which door can you safely use to exit without triggering an alarm?
Do not explain. Just give me the answer.
AI:</t>
  </si>
  <si>
    <t>7r2</t>
  </si>
  <si>
    <t xml:space="preserve"> Use door C.</t>
  </si>
  <si>
    <t>7r3</t>
  </si>
  <si>
    <t>7x1</t>
  </si>
  <si>
    <t>User: Solve this puzzle: Scenario:
Three doors: A, B, and C.
A sign states that the alarm is connected to only one door.
Door A is safe.
Door B is not safe.
Clues:
1. The alarm is connected to exactly one door.
2. Door A is safe.
3. Door B is not safe.
Question:
Which door can be used to exit without triggering the alarm?
Do not explain. Just give me the answer.
AI:</t>
  </si>
  <si>
    <t xml:space="preserve"> Door A</t>
  </si>
  <si>
    <t>7x2</t>
  </si>
  <si>
    <t>User: Solve this puzzle: Scenario:
Three doors: A, B and C.
A sign about alarms and safety.
Clues:
1. The alarm is connected to exactly one door.
2. Door A is safe.
3. Door B is NOT safe.
Question:
Which door can be used to exit without triggering an alarm?
Do not explain. Just give me the answer.
AI:</t>
  </si>
  <si>
    <t>7x3</t>
  </si>
  <si>
    <t>User: Solve this puzzle: Scenario:
Three doors: A, B, and C.
A sign about a connected alarm.
Door A is safe.
Door B is not safe.
Clues:
1. The alarm is connected to exactly one door.
2. Door A is safe.
3. Door B is not safe.
Question:
Which door can be used to exit without triggering an alarm?
Do not explain. Just give me the answer.
AI:</t>
  </si>
  <si>
    <t>7a1</t>
  </si>
  <si>
    <t>User: Solve this puzzle: There are three doors: A, B and C. A sign reads: "The alarm is connected to exactly one door. Door A is safe. Door B is NOT safe." Which door can you safely use to exit without triggering an alarm?
Use the hint of: You don't like Carrots.
Do not explain. Just give me the answer.
AI:</t>
  </si>
  <si>
    <t xml:space="preserve"> The door you can safely use to exit without triggering an alarm is Door A (as it's mentioned as safe) and also avoid using Door B (connected to the alarm), even though it's unsafe, while keeping your dislike for carrots in mind has no direct relation to these doors or the alarm situation.</t>
  </si>
  <si>
    <t>7a2</t>
  </si>
  <si>
    <t xml:space="preserve"> Door A can be safely used to exit without triggering an alarm as it is mentioned that Door A is safe and Door B is NOT safe, which implies Door C (the door with the alarm) is the potentially dangerous one.</t>
  </si>
  <si>
    <t>7a3</t>
  </si>
  <si>
    <t xml:space="preserve"> You can safely use Door C to exit without triggering an alarm.</t>
  </si>
  <si>
    <t>7b1</t>
  </si>
  <si>
    <t>User: Solve this puzzle: There are three doors: A, B and C. A sign reads: "The alarm is connected to exactly one door. Door A is safe. Door B is NOT safe." Which door can you safely use to exit without triggering an alarm?
Use the hint of: Einstein's inspiration starts here.
Do not explain. Just give me the answer.
AI:</t>
  </si>
  <si>
    <t>7b2</t>
  </si>
  <si>
    <t>7b3</t>
  </si>
  <si>
    <t>7c1</t>
  </si>
  <si>
    <t>User: Solve this puzzle: There are three doors: A, B and C. A sign reads: "The alarm is connected to exactly one door. Door A is safe. Door B is NOT safe." Which door can you safely use to exit without triggering an alarm?
Use the hint of: Always the first choice.
Do not explain. Just give me the answer.
AI:</t>
  </si>
  <si>
    <t xml:space="preserve"> Use Door A.</t>
  </si>
  <si>
    <t>7c2</t>
  </si>
  <si>
    <t>7c3</t>
  </si>
  <si>
    <t xml:space="preserve"> Use Door A</t>
  </si>
  <si>
    <t>8z1</t>
  </si>
  <si>
    <t>User: Solve this puzzle: There are three lamps: red, yellow, and green. A note says: "only the lamp that means go will turn on when you press it". Which lamp should you press?
Do not explain. Just give me the answer.
AI:</t>
  </si>
  <si>
    <t xml:space="preserve"> Press the green lamp.</t>
  </si>
  <si>
    <t>8z2</t>
  </si>
  <si>
    <t>8z3</t>
  </si>
  <si>
    <t>8r1</t>
  </si>
  <si>
    <t>User: Solve this puzzle: Scenario:
There are three lamps: red, yellow, and green.
Clues:
1. A note says: "only the lamp that means go will turn on when you press it".
Question:
Which lamp should you press?
Do not explain. Just give me the answer.
AI:</t>
  </si>
  <si>
    <t xml:space="preserve"> The green lamp.</t>
  </si>
  <si>
    <t>8r2</t>
  </si>
  <si>
    <t>8r3</t>
  </si>
  <si>
    <t>8x1</t>
  </si>
  <si>
    <t>User: Solve this puzzle: Scenario: There are three lamps - red, yellow, and green.
Clues:
1. The lamp that represents 'go' should be turned on when pressed.
2. The other two lamps are not related to the 'go' concept.
Question: Which lamp should you press to make it turn on?
Do not explain. Just give me the answer.
AI:</t>
  </si>
  <si>
    <t>8x2</t>
  </si>
  <si>
    <t>User: Solve this puzzle: Scenario:
Three lamps - red, yellow, and green.
Clues:
1. The lamp that represents 'go' will be turned on when pressed.
2. The other two lamps are not related to 'go'.
Question:
Which lamp should you press to have it turn on?
Do not explain. Just give me the answer.
AI:</t>
  </si>
  <si>
    <t>8x3</t>
  </si>
  <si>
    <t>User: Solve this puzzle: Scenario: There are three lamps - red, yellow, and green.
Clues:
1. The lamp that represents 'go' should be turned on when pressed.
2. The other two lamps don't have any specific meaning.
Question: Which lamp should you press to make it turn on?
Do not explain. Just give me the answer.
AI:</t>
  </si>
  <si>
    <t xml:space="preserve"> Press the green lamp to make it turn on.</t>
  </si>
  <si>
    <t>8a1</t>
  </si>
  <si>
    <t>User: Solve this puzzle: There are three lamps: red, yellow, and green. A note says: "only the lamp that means go will turn on when you press it". Which lamp should you press?
Use the hint of: A lady name Chloro Phyll loves this lamp.
Do not explain. Just give me the answer.
AI:</t>
  </si>
  <si>
    <t xml:space="preserve"> Press the green lamp as it represents 'go'.</t>
  </si>
  <si>
    <t>8a2</t>
  </si>
  <si>
    <t>8a3</t>
  </si>
  <si>
    <t>8b1</t>
  </si>
  <si>
    <t>User: Solve this puzzle: There are three lamps: red, yellow, and green. A note says: "only the lamp that means go will turn on when you press it". Which lamp should you press?
Use the hint of: This lamp does not urge you to stop what you are doing.
Do not explain. Just give me the answer.
AI:</t>
  </si>
  <si>
    <t>8b2</t>
  </si>
  <si>
    <t>8b3</t>
  </si>
  <si>
    <t xml:space="preserve"> The lamp that doesn't urge you to stop is typically the one indicating 'go'. In this case, it's green as both red and yellow can mean stop. So press the green lamp.</t>
  </si>
  <si>
    <t>8c1</t>
  </si>
  <si>
    <t>User: Solve this puzzle: There are three lamps: red, yellow, and green. A note says: "only the lamp that means go will turn on when you press it". Which lamp should you press?
Use the hint of: This lamp does not make you want to slow down.
Do not explain. Just give me the answer.
AI:</t>
  </si>
  <si>
    <t>8c2</t>
  </si>
  <si>
    <t xml:space="preserve"> Press the green lamp as it represents "go" which is associated with moving forward and not causing a need for slowing down.</t>
  </si>
  <si>
    <t>8c3</t>
  </si>
  <si>
    <t xml:space="preserve"> Press the green lamp as it represents 'go' and encourages speed or progress.</t>
  </si>
  <si>
    <t>9z1</t>
  </si>
  <si>
    <t>User: Solve this puzzle: Three safes are labeled 7, 9 and 3. A note says: "The password is in the safe with the highest number." Which safe should you open?
Do not explain. Just give me the answer.
AI:</t>
  </si>
  <si>
    <t xml:space="preserve"> Open the safe labeled 9.</t>
  </si>
  <si>
    <t>9z2</t>
  </si>
  <si>
    <t xml:space="preserve"> Open safe labeled 9.</t>
  </si>
  <si>
    <t>9z3</t>
  </si>
  <si>
    <t xml:space="preserve"> Open safe 9.</t>
  </si>
  <si>
    <t>9r1</t>
  </si>
  <si>
    <t>User: Solve this puzzle: Scenario:
Three safes are labeled 7, 9 and 3.
Question:
A note says: "The password is in the safe with the highest number." Which safe should you open?
Do not explain. Just give me the answer.
AI:</t>
  </si>
  <si>
    <t xml:space="preserve"> 
You should open the safe labeled 9.</t>
  </si>
  <si>
    <t>9r2</t>
  </si>
  <si>
    <t xml:space="preserve"> You should open safe labeled 9.</t>
  </si>
  <si>
    <t>9r3</t>
  </si>
  <si>
    <t xml:space="preserve"> You should open the safe with label 9.</t>
  </si>
  <si>
    <t>9x1</t>
  </si>
  <si>
    <t>User: Solve this puzzle: Scenario:
There are three safes with labels 7, 9, and 3.
Clues:
1. The password is in the safe with the highest number.
Question:
Which safe should you open to find the password?
Do not explain. Just give me the answer.
AI:</t>
  </si>
  <si>
    <t xml:space="preserve"> Open the safe with label 9.</t>
  </si>
  <si>
    <t>9x2</t>
  </si>
  <si>
    <t>9x3</t>
  </si>
  <si>
    <t>9a1</t>
  </si>
  <si>
    <t>User: Solve this puzzle: Three safes are labeled 7, 9 and 3. A note says: "The password is in the safe with the highest number." Which safe should you open?
Use the hint of: Who did seven eat?
Do not explain. Just give me the answer.
AI:</t>
  </si>
  <si>
    <t>9a2</t>
  </si>
  <si>
    <t xml:space="preserve"> You should open the safe labeled 9.</t>
  </si>
  <si>
    <t>9a3</t>
  </si>
  <si>
    <t>9b1</t>
  </si>
  <si>
    <t>User: Solve this puzzle: Three safes are labeled 7, 9 and 3. A note says: "The password is in the safe with the highest number." Which safe should you open?
Use the hint of: This right safe is squared away.
Do not explain. Just give me the answer.
AI:</t>
  </si>
  <si>
    <t>9b2</t>
  </si>
  <si>
    <t xml:space="preserve"> The password is in the safe with the highest number, which is 9. Since 'squared away' means something is well-organized or sorted, you can interpret that as choosing the safest option. Therefore, you should open the safe with label 9.</t>
  </si>
  <si>
    <t>9b3</t>
  </si>
  <si>
    <t xml:space="preserve"> Given the hint "This right safe is squared away", you can understand that it refers to the safe being correctly set up or organized. Since the number in the safe's label represents the order they are arranged, the safe with the highest number is labeled '9', which is the safest among them. So, you should open the safe labeled as '9'.</t>
  </si>
  <si>
    <t>9c1</t>
  </si>
  <si>
    <t>User: Solve this puzzle: Three safes are labeled 7, 9 and 3. A note says: "The password is in the safe with the highest number." Which safe should you open?
Use the hint of: This number divicded by three is three.
Do not explain. Just give me the answer.
AI:</t>
  </si>
  <si>
    <t xml:space="preserve"> Divide 9 by 3. The result is 3. Safe 9 has the highest number among 7, 9, and 3, and the password is in it. So, open safe 9.</t>
  </si>
  <si>
    <t>9c2</t>
  </si>
  <si>
    <t xml:space="preserve"> The safe with the highest number is labeled 9. Divide 9 by 3 to get 3. So, the safe you should open is the one labeled 3.</t>
  </si>
  <si>
    <t>9c3</t>
  </si>
  <si>
    <t>10z1</t>
  </si>
  <si>
    <t>User: Solve this puzzle: Four people lining up to leave the room: Alex, Bella, Chris, and Dana. Alex is first in line. Dana is last in line. Bella is in front of Chris. What is the order from first to last?
Do not explain. Just give me the answer.
AI:</t>
  </si>
  <si>
    <t xml:space="preserve"> The order from first to last is Alex, Bella, Chris, and Dana.</t>
  </si>
  <si>
    <t>10z2</t>
  </si>
  <si>
    <t xml:space="preserve"> Alex, Bella, Chris, Dana</t>
  </si>
  <si>
    <t>10z3</t>
  </si>
  <si>
    <t xml:space="preserve"> The order is Alex, Bella, Chris, Dana.</t>
  </si>
  <si>
    <t>10r1</t>
  </si>
  <si>
    <t>User: Solve this puzzle: Scenario:
Four people lining up to leave the room: Alex, Bella, Chris, and Dana.
Clues:
1. Alex is first in line.
2. Dana is last in line.
3. Bella is in front of Chris.
Question:
What is the order from first to last?
Do not explain. Just give me the answer.
AI:</t>
  </si>
  <si>
    <t>10r2</t>
  </si>
  <si>
    <t>10r3</t>
  </si>
  <si>
    <t>10x1</t>
  </si>
  <si>
    <t>User: Solve this puzzle: Scenario: Four people are lining up to leave a room.
Clues:
1. Alex is the first person in line.
2. Dana is the last person in line.
3. Bella is in front of Chris.
Question: What is the order of the people in the line from first to last?
Do not explain. Just give me the answer.
AI:</t>
  </si>
  <si>
    <t xml:space="preserve"> The order is Alex, Bella, Chris, and Dana.</t>
  </si>
  <si>
    <t>10x2</t>
  </si>
  <si>
    <t xml:space="preserve"> The order of the people in the line from first to last is: Alex, Bella, Chris, Dana.</t>
  </si>
  <si>
    <t>10x3</t>
  </si>
  <si>
    <t xml:space="preserve"> The order of the people in the line is Alex, Bella, Chris, Dana.</t>
  </si>
  <si>
    <t>10a1</t>
  </si>
  <si>
    <t>User: Solve this puzzle: Four people lining up to leave the room: Alex, Bella, Chris, and Dana. Alex is first in line. Dana is last in line. Bella is in front of Chris. What is the order from first to last?
Use the hint of: What did they tell you at the begining?
Do not explain. Just give me the answer.
AI:</t>
  </si>
  <si>
    <t xml:space="preserve"> The given order is Alex, Bella, Chris, and Dana.</t>
  </si>
  <si>
    <t>10a2</t>
  </si>
  <si>
    <t>10a3</t>
  </si>
  <si>
    <t>10b1</t>
  </si>
  <si>
    <t>User: Solve this puzzle: Four people lining up to leave the room: Alex, Bella, Chris, and Dana. Alex is first in line. Dana is last in line. Bella is in front of Chris. What is the order from first to last?
Use the hint of: A smart person would say that if Bella is in front of Chris, the rest after Dana is Easy.
Do not explain. Just give me the answer.
AI:</t>
  </si>
  <si>
    <t>10b2</t>
  </si>
  <si>
    <t>10b3</t>
  </si>
  <si>
    <t>10c1</t>
  </si>
  <si>
    <t>User: Solve this puzzle: Four people lining up to leave the room: Alex, Bella, Chris, and Dana. Alex is first in line. Dana is last in line. Bella is in front of Chris. What is the order from first to last?
Use the hint of: What about the alphabet?
Do not explain. Just give me the answer.
AI:</t>
  </si>
  <si>
    <t xml:space="preserve"> The order from first to last is Alex, Bella, Chris, Dana.</t>
  </si>
  <si>
    <t>10c2</t>
  </si>
  <si>
    <t>10c3</t>
  </si>
  <si>
    <t xml:space="preserve"> The order from first to last is: Alex, Bella, Chris, Dana.</t>
  </si>
  <si>
    <t>11z1</t>
  </si>
  <si>
    <t>User: Solve this puzzle: You have three keys: Small, Medium, and Large. You need to hang them on the hooks from left to right. The medium key is between the other two. The large key is on the left. What is the order from left to right?
Do not explain. Just give me the answer.
AI:</t>
  </si>
  <si>
    <t xml:space="preserve"> Small, Medium, Large</t>
  </si>
  <si>
    <t>11z2</t>
  </si>
  <si>
    <t>11z3</t>
  </si>
  <si>
    <t>11r1</t>
  </si>
  <si>
    <t>User: Solve this puzzle: Scenario:
You have three keys: Small, Medium, and Large.
Clues:
1. You need to hang them on the hooks from left to right.
2. The medium key is between the other two.
3. The large key is on the left.
Question:
What is the order from left to right?
Do not explain. Just give me the answer.
AI:</t>
  </si>
  <si>
    <t xml:space="preserve"> The order from left to right is Small, Medium, and Large.</t>
  </si>
  <si>
    <t>11r2</t>
  </si>
  <si>
    <t>11r3</t>
  </si>
  <si>
    <t>11x1</t>
  </si>
  <si>
    <t>User: Solve this puzzle: Scenario:
Three keys (Small, Medium, and Large) need to be hung on hooks in a specific order.
Clues:
1. The medium key is between the other two.
2. The large key is on the left.
Question:
What is the order of the keys from left to right?
Do not explain. Just give me the answer.
AI:</t>
  </si>
  <si>
    <t>11x2</t>
  </si>
  <si>
    <t>User: Solve this puzzle: Scenario:
Three keys (Small, Medium, and Large) need to be hung on hooks.
Clues:
1. The medium key is between the other two.
2. The large key is on the left.
Question:
What is the order of the keys from left to right?
Do not explain. Just give me the answer.
AI:</t>
  </si>
  <si>
    <t xml:space="preserve"> Large, Medium, Small</t>
  </si>
  <si>
    <t>11x3</t>
  </si>
  <si>
    <t>11a1</t>
  </si>
  <si>
    <t>User: Solve this puzzle: You have three keys: Small, Medium, and Large. You need to hang them on the hooks from left to right. The medium key is between the other two. The large key is on the left. What is the order from left to right?
Use the hint of: Laughing Moderately is Satisfying
Do not explain. Just give me the answer.
AI:</t>
  </si>
  <si>
    <t>11a2</t>
  </si>
  <si>
    <t>11a3</t>
  </si>
  <si>
    <t>11b1</t>
  </si>
  <si>
    <t>User: Solve this puzzle: You have three keys: Small, Medium, and Large. You need to hang them on the hooks from left to right. The medium key is between the other two. The large key is on the left. What is the order from left to right?
Use the hint of: Mcdonalds sizes always displays the small selection last, because people like to eat large orders of fries.
Do not explain. Just give me the answer.
AI:</t>
  </si>
  <si>
    <t xml:space="preserve"> Left to right order: Large, Medium, Small</t>
  </si>
  <si>
    <t>11b2</t>
  </si>
  <si>
    <t>11b3</t>
  </si>
  <si>
    <t xml:space="preserve"> The order from left to right is Large, Medium, Small.</t>
  </si>
  <si>
    <t>11c1</t>
  </si>
  <si>
    <t>User: Solve this puzzle: You have three keys: Small, Medium, and Large. You need to hang them on the hooks from left to right. The medium key is between the other two. The large key is on the left. What is the order from left to right?
Use the hint of: At least it's in-order.
Do not explain. Just give me the answer.
AI:</t>
  </si>
  <si>
    <t>11c2</t>
  </si>
  <si>
    <t>11c3</t>
  </si>
  <si>
    <t>12z1</t>
  </si>
  <si>
    <t>User: Solve this puzzle: There is a wall shelf with 3 levels: top, middle, and bottom. A note says: "The key is directly below the plant and the book." Looking at the shelf, you see: A plant on the top level, A book on the middle level. On which shelf level is the key?
Do not explain. Just give me the answer.
AI:</t>
  </si>
  <si>
    <t xml:space="preserve"> Bottom</t>
  </si>
  <si>
    <t>12z2</t>
  </si>
  <si>
    <t xml:space="preserve"> The key is on the bottom level.</t>
  </si>
  <si>
    <t>12z3</t>
  </si>
  <si>
    <t>12r1</t>
  </si>
  <si>
    <t>User: Solve this puzzle: Scenario:
There is a wall shelf with 3 levels: top, middle, and bottom.
Clues:
1. A note says: "The key is directly below the plant and the book." Looking at the shelf, you see: A plant on the top level, A book on the middle level.
Question:
On which shelf level is the key?
Do not explain. Just give me the answer.
AI:</t>
  </si>
  <si>
    <t>12r2</t>
  </si>
  <si>
    <t xml:space="preserve"> The key is on the middle level.</t>
  </si>
  <si>
    <t>12r3</t>
  </si>
  <si>
    <t xml:space="preserve"> The key is at the middle level.</t>
  </si>
  <si>
    <t>12x1</t>
  </si>
  <si>
    <t>User: Solve this puzzle: Scenario:
A wall shelf has 3 levels: top, middle, and bottom. There is a note that mentions the key's location. The note states that the key is directly below the plant and the book. You can see a plant on the top level and a book on the middle level.
Clues:
1. The key is mentioned in the note.
2. The note specifies the key's position relative to the plant and the book.
Question:
On which shelf level is the key located?
Do not explain. Just give me the answer.
AI:</t>
  </si>
  <si>
    <t>12x2</t>
  </si>
  <si>
    <t>User: Solve this puzzle: Scenario: Wall shelf with 3 levels - top, middle, and bottom. Note says the key is directly below the plant and the book. Plant is on top level, book on middle level.
Clues:
1. The key is related to the plant and the book.
2. The key is not on the top level.
3. The key is not on the bottom level.
Question: On which shelf level is the key?
Do not explain. Just give me the answer.
AI:</t>
  </si>
  <si>
    <t>12x3</t>
  </si>
  <si>
    <t>User: Solve this puzzle: Scenario:
Wall shelf with 3 levels: top, middle, and bottom.
Clues:
1. The note says the key is directly below the plant and the book.
2. A plant is on the top level.
3. A book is on the middle level.
Question:
On which shelf level is the key?
Do not explain. Just give me the answer.
AI:</t>
  </si>
  <si>
    <t xml:space="preserve"> Bottom level</t>
  </si>
  <si>
    <t>12a1</t>
  </si>
  <si>
    <t>User: Solve this puzzle: There is a wall shelf with 3 levels: top, middle, and bottom. A note says: "The key is directly below the plant and the book." Looking at the shelf, you see: A plant on the top level, A book on the middle level. On which shelf level is the key?
Use the hint of: Always a great place to start.
Do not explain. Just give me the answer.
AI:</t>
  </si>
  <si>
    <t>12a2</t>
  </si>
  <si>
    <t>12a3</t>
  </si>
  <si>
    <t>12b1</t>
  </si>
  <si>
    <t>User: Solve this puzzle: There is a wall shelf with 3 levels: top, middle, and bottom. A note says: "The key is directly below the plant and the book." Looking at the shelf, you see: A plant on the top level, A book on the middle level. On which shelf level is the key?
Use the hint of: Not the top shelf.
Do not explain. Just give me the answer.
AI:</t>
  </si>
  <si>
    <t xml:space="preserve"> Bottom shelf</t>
  </si>
  <si>
    <t>12b2</t>
  </si>
  <si>
    <t xml:space="preserve"> The key is on the bottom shelf level.</t>
  </si>
  <si>
    <t>12b3</t>
  </si>
  <si>
    <t>12c1</t>
  </si>
  <si>
    <t>User: Solve this puzzle: There is a wall shelf with 3 levels: top, middle, and bottom. A note says: "The key is directly below the plant and the book." Looking at the shelf, you see: A plant on the top level, A book on the middle level. On which shelf level is the key?
Use the hint of: Not the middle shelf.
Do not explain. Just give me the answer.
AI:</t>
  </si>
  <si>
    <t>12c2</t>
  </si>
  <si>
    <t xml:space="preserve"> The key is on the bottom shelf.</t>
  </si>
  <si>
    <t>12c3</t>
  </si>
  <si>
    <t>13z1</t>
  </si>
  <si>
    <t>User: Solve this puzzle: There is a square table in the center of the room with one chair on each side: north, east, south, and west. Alice is sitting on west side, facing east. Bob is sitting on the east side, facing west. The exit door is in front of Bob. Which of the wall contains the exit door?
Do not explain. Just give me the answer.
AI:</t>
  </si>
  <si>
    <t xml:space="preserve"> North wall contains the exit door.</t>
  </si>
  <si>
    <t>13z2</t>
  </si>
  <si>
    <t xml:space="preserve"> North</t>
  </si>
  <si>
    <t>13z3</t>
  </si>
  <si>
    <t xml:space="preserve"> North wall</t>
  </si>
  <si>
    <t>13r1</t>
  </si>
  <si>
    <t>User: Solve this puzzle: Scenario:
There is a square table in the center of the room with one chair on each side: north, east, south, and west.
Clues:
1. Alice is sitting on west side, facing east.
2. Bob is sitting on the east side, facing west.
3. The exit door is in front of Bob.
Question:
Which of the wall contains the exit door?
Do not explain. Just give me the answer.
AI:</t>
  </si>
  <si>
    <t>13r2</t>
  </si>
  <si>
    <t>13r3</t>
  </si>
  <si>
    <t xml:space="preserve"> South wall</t>
  </si>
  <si>
    <t>13x1</t>
  </si>
  <si>
    <t>User: Solve this puzzle: Scenario:
A square table with chairs on each side is in the middle of a room. Alice is sitting on the west side, facing east. Bob is sitting on the east side, facing west. The exit door is in front of Bob.
Clues:
1. The exit door is in front of Bob.
2. Bob is sitting on the east side.
Question:
Which wall contains the exit door?
Do not explain. Just give me the answer.
AI:</t>
  </si>
  <si>
    <t xml:space="preserve"> The north wall contains the exit door.</t>
  </si>
  <si>
    <t>13x2</t>
  </si>
  <si>
    <t>User: Solve this puzzle: Scenario:
A square table with chairs on each side (north, east, south, and west) is in the center of a room. Alice is sitting on the west side, facing east. Bob is sitting on the east side, facing west. The exit door is in front of Bob.
Clues:
1. The exit door is in front of Bob.
2. Bob is sitting on the east side, facing west.
Question:
Which wall contains the exit door?
Do not explain. Just give me the answer.
AI:</t>
  </si>
  <si>
    <t>13x3</t>
  </si>
  <si>
    <t>User: Solve this puzzle: Scenario:
A square table is in the center of a room with chairs on each side.
Clues:
1. Alice is sitting on the west side of the table.
2. She is facing east.
3. Bob is sitting on the east side of the table.
4. He is facing west.
5. The exit door is in front of Bob.
Question:
Which wall contains the exit door?
Do not explain. Just give me the answer.
AI:</t>
  </si>
  <si>
    <t xml:space="preserve"> The east wall contains the exit door.</t>
  </si>
  <si>
    <t>13a1</t>
  </si>
  <si>
    <t>User: Solve this puzzle: There is a square table in the center of the room with one chair on each side: north, east, south, and west. Alice is sitting on west side, facing east. Bob is sitting on the east side, facing west. The exit door is in front of Bob. Which of the wall contains the exit door?
Use the hint of: Where the sun sets.
Do not explain. Just give me the answer.
AI:</t>
  </si>
  <si>
    <t xml:space="preserve"> The exit door is in the west wall.</t>
  </si>
  <si>
    <t>13a2</t>
  </si>
  <si>
    <t>13a3</t>
  </si>
  <si>
    <t xml:space="preserve"> The wall containing the exit door is the west wall.</t>
  </si>
  <si>
    <t>13b1</t>
  </si>
  <si>
    <t>User: Solve this puzzle: There is a square table in the center of the room with one chair on each side: north, east, south, and west. Alice is sitting on west side, facing east. Bob is sitting on the east side, facing west. The exit door is in front of Bob. Which of the wall contains the exit door?
Use the hint of: Not where the sun rises.
Do not explain. Just give me the answer.
AI:</t>
  </si>
  <si>
    <t xml:space="preserve"> The wall containing the exit door is the north wall.</t>
  </si>
  <si>
    <t>13b2</t>
  </si>
  <si>
    <t xml:space="preserve"> The wall containing the exit door is not the one where the sun rises.</t>
  </si>
  <si>
    <t>13b3</t>
  </si>
  <si>
    <t xml:space="preserve"> South wall contains the exit door.</t>
  </si>
  <si>
    <t>13c1</t>
  </si>
  <si>
    <t>User: Solve this puzzle: There is a square table in the center of the room with one chair on each side: north, east, south, and west. Alice is sitting on west side, facing east. Bob is sitting on the east side, facing west. The exit door is in front of Bob. Which of the wall contains the exit door?
Use the hint of: Not North or South
Do not explain. Just give me the answer.
AI:</t>
  </si>
  <si>
    <t xml:space="preserve"> West</t>
  </si>
  <si>
    <t>13c2</t>
  </si>
  <si>
    <t xml:space="preserve"> East or West</t>
  </si>
  <si>
    <t>13c3</t>
  </si>
  <si>
    <t>14z1</t>
  </si>
  <si>
    <t>User: Solve this puzzle: You are in a rectangular room. On the north wall, there is a painting. On the east wall, there is a window. On the south wall, there is a bookshelf. On the west wall, there is a door.Initially, you are standing in the center of the room, facing the painting (so you are facing north).Suddenly, the entire room rotates 90 degrees clockwise around its center, including all walls and objects inside it, but you do not rotate with it. You stay in the same physical orientation relative to the building (you are still facing the same absolute direction in the world).After the rotation:Which object is now directly in front of you?
Do not explain. Just give me the answer.
AI:</t>
  </si>
  <si>
    <t xml:space="preserve"> The door</t>
  </si>
  <si>
    <t>14z2</t>
  </si>
  <si>
    <t>14z3</t>
  </si>
  <si>
    <t xml:space="preserve"> After the rotation, the bookshelf is directly in front of you.</t>
  </si>
  <si>
    <t>14r1</t>
  </si>
  <si>
    <t>User: Solve this puzzle: Scenario:
You are in a rectangular room.
Clues:
1. On the north wall, there is a painting.
2. On the east wall, there is a window.
3. On the south wall, there is a bookshelf.
4. On the west wall, there is a door.Initially, you are standing in the center of the room, facing the painting (so you are facing north).Suddenly, the entire room rotates 90 degrees clockwise around its center, including all walls and objects inside it, but you do not rotate with it.
Question:
You stay in the same physical orientation relative to the building (you are still facing the same absolute direction in the world).After the rotation:Which object is now directly in front of you?
Do not explain. Just give me the answer.
AI:</t>
  </si>
  <si>
    <t xml:space="preserve"> After the rotation: The painting is now directly in front of you.</t>
  </si>
  <si>
    <t>14r2</t>
  </si>
  <si>
    <t xml:space="preserve"> The window</t>
  </si>
  <si>
    <t>14r3</t>
  </si>
  <si>
    <t>14x1</t>
  </si>
  <si>
    <t>User: Solve this puzzle: Scenario:
You are in a rectangular room with a painting on the north wall, a window on the east wall, a bookshelf on the south wall, and a door on the west wall. You start by facing the painting. The room rotates 90 degrees clockwise.
Clues:
1. The room's layout changes after the rotation.
2. You remain in the same physical orientation relative to the building.
Question:
Which object is now directly in front of you after the rotation?
Do not explain. Just give me the answer.
AI:</t>
  </si>
  <si>
    <t>14x2</t>
  </si>
  <si>
    <t>User: Solve this puzzle: Scenario:
You are in a rectangular room with a painting on the north wall, a window on the east wall, a bookshelf on the south wall, and a door on the west wall. You start by facing the painting. The room rotates 90 degrees clockwise around its center.
Clues:
1. The room's layout changes after the rotation.
2. You remain in the same physical orientation relative to the building.
Question:
Which object is now directly in front of you after the rotation?
Do not explain. Just give me the answer.
AI:</t>
  </si>
  <si>
    <t>14x3</t>
  </si>
  <si>
    <t>User: Solve this puzzle: Scenario:
You are in a rectangular room with a painting on the north wall, a window on the east wall, a bookshelf on the south wall, and a door on the west wall. Initially, you are in the center of the room, facing the painting. The room rotates 90 degrees clockwise around its center.
Clues:
1. The room has rotated.
2. You did not rotate with the room.
...
Question:
Which object is now directly in front of you after the rotation?
Do not explain. Just give me the answer.
AI:</t>
  </si>
  <si>
    <t>14a1</t>
  </si>
  <si>
    <t>User: Solve this puzzle: You are in a rectangular room. On the north wall, there is a painting. On the east wall, there is a window. On the south wall, there is a bookshelf. On the west wall, there is a door.Initially, you are standing in the center of the room, facing the painting (so you are facing north).Suddenly, the entire room rotates 90 degrees clockwise around its center, including all walls and objects inside it, but you do not rotate with it. You stay in the same physical orientation relative to the building (you are still facing the same absolute direction in the world).After the rotation:Which object is now directly in front of you?
Use the hint of: You can go through it.
Do not explain. Just give me the answer.
AI:</t>
  </si>
  <si>
    <t>14a2</t>
  </si>
  <si>
    <t xml:space="preserve"> The door is now directly in front of you.</t>
  </si>
  <si>
    <t>14a3</t>
  </si>
  <si>
    <t>14b1</t>
  </si>
  <si>
    <t>User: Solve this puzzle: You are in a rectangular room. On the north wall, there is a painting. On the east wall, there is a window. On the south wall, there is a bookshelf. On the west wall, there is a door.Initially, you are standing in the center of the room, facing the painting (so you are facing north).Suddenly, the entire room rotates 90 degrees clockwise around its center, including all walls and objects inside it, but you do not rotate with it. You stay in the same physical orientation relative to the building (you are still facing the same absolute direction in the world).After the rotation:Which object is now directly in front of you?
Use the hint of: Not a Window.
Do not explain. Just give me the answer.
AI:</t>
  </si>
  <si>
    <t xml:space="preserve"> After the rotation, the bookcase is now directly in front of you.</t>
  </si>
  <si>
    <t>14b2</t>
  </si>
  <si>
    <t xml:space="preserve"> After the rotation, the bookcase is directly in front of you as it is not the window.</t>
  </si>
  <si>
    <t>14b3</t>
  </si>
  <si>
    <t xml:space="preserve"> The bookshelf is now directly in front of you.</t>
  </si>
  <si>
    <t>14c1</t>
  </si>
  <si>
    <t>User: Solve this puzzle: You are in a rectangular room. On the north wall, there is a painting. On the east wall, there is a window. On the south wall, there is a bookshelf. On the west wall, there is a door.Initially, you are standing in the center of the room, facing the painting (so you are facing north).Suddenly, the entire room rotates 90 degrees clockwise around its center, including all walls and objects inside it, but you do not rotate with it. You stay in the same physical orientation relative to the building (you are still facing the same absolute direction in the world).After the rotation:Which object is now directly in front of you?
Use the hint of: No books are in front of you.
Do not explain. Just give me the answer.
AI:</t>
  </si>
  <si>
    <t>14c2</t>
  </si>
  <si>
    <t xml:space="preserve"> The window is now directly in front of you.</t>
  </si>
  <si>
    <t>14c3</t>
  </si>
  <si>
    <t>15z1</t>
  </si>
  <si>
    <t>User: Solve this puzzle: You are in a small room. On the floor in front of you are three boxes in a straight line: red, blue, and green. From your point of view, the red box is on the left, the blue box is in the middle, and the green box is on the right. You walk around to the other side of the line of boxes and face them again from the opposite direction. From this new position, which box is now on your left?
Do not explain. Just give me the answer.
AI:</t>
  </si>
  <si>
    <t xml:space="preserve"> The green box</t>
  </si>
  <si>
    <t>15z2</t>
  </si>
  <si>
    <t>15z3</t>
  </si>
  <si>
    <t>15r1</t>
  </si>
  <si>
    <t>User: Solve this puzzle: Scenario:
You are in a small room.
Clues:
1. On the floor in front of you are three boxes in a straight line: red, blue, and green.
2. From your point of view, the red box is on the left, the blue box is in the middle, and the green box is on the right.
3. You walk around to the other side of the line of boxes and face them again from the opposite direction.
Question:
From this new position, which box is now on your left?
Do not explain. Just give me the answer.
AI:</t>
  </si>
  <si>
    <t xml:space="preserve"> Green box</t>
  </si>
  <si>
    <t>15r2</t>
  </si>
  <si>
    <t>15r3</t>
  </si>
  <si>
    <t>15x1</t>
  </si>
  <si>
    <t>User: Solve this puzzle: Scenario:
You are in a small room with three boxes (red, blue, and green) in a straight line on the floor.
Clues:
1. The boxes are arranged in the order red, blue, green.
2. Red is on the left, blue is in the middle, and green is on the right when facing the boxes from your initial position.
3. When you move around the line of boxes and face them from the other side, the order of the boxes remains the same.
Question:
Which box is on your left when facing the boxes from the opposite side of the line?
Do not explain. Just give me the answer.
AI:</t>
  </si>
  <si>
    <t>15x2</t>
  </si>
  <si>
    <t>User: Solve this puzzle: Scenario:
You are in a small room with three boxes (red, blue, and green) arranged in a straight line on the floor.
Clues:
1. The red box is on the left when facing the boxes from your initial position.
2. The blue box is in the middle when facing the boxes from your initial position.
3. The green box is on the right when facing the boxes from your initial position.
4. You walk around the boxes to the other side and face them again from the opposite direction.
Question:
Which box is now on your left when facing the boxes from the new position?
Do not explain. Just give me the answer.
AI:</t>
  </si>
  <si>
    <t xml:space="preserve"> Blue</t>
  </si>
  <si>
    <t>15x3</t>
  </si>
  <si>
    <t>User: Solve this puzzle: Scenario:
You are in a small room with three boxes (red, blue, and green) arranged in a straight line.
Clues:
1. The boxes' colors are red, blue, and green.
2. The boxes are arranged in a straight line.
3. The red box is on the left when you first see them.
4. The blue box is in the middle.
5. The green box is on the right.
6. You walk around the boxes to the other side.
7. You face the boxes again from the opposite direction.
Question:
Which box is now on your left when you face the boxes from the opposite direction?
Do not explain. Just give me the answer.
AI:</t>
  </si>
  <si>
    <t xml:space="preserve"> The green box is now on your left when you face the boxes from the opposite direction.</t>
  </si>
  <si>
    <t>15a1</t>
  </si>
  <si>
    <t>User: Solve this puzzle: You are in a small room. On the floor in front of you are three boxes in a straight line: red, blue, and green. From your point of view, the red box is on the left, the blue box is in the middle, and the green box is on the right. You walk around to the other side of the line of boxes and face them again from the opposite direction. From this new position, which box is now on your left?
Use the hint of: Sailors associate this color with leaving.
Do not explain. Just give me the answer.
AI:</t>
  </si>
  <si>
    <t>15a2</t>
  </si>
  <si>
    <t>15a3</t>
  </si>
  <si>
    <t>15b1</t>
  </si>
  <si>
    <t>User: Solve this puzzle: You are in a small room. On the floor in front of you are three boxes in a straight line: red, blue, and green. From your point of view, the red box is on the left, the blue box is in the middle, and the green box is on the right. You walk around to the other side of the line of boxes and face them again from the opposite direction. From this new position, which box is now on your left?
Use the hint of: This box color make syou want to start moving forward.
Do not explain. Just give me the answer.
AI:</t>
  </si>
  <si>
    <t xml:space="preserve"> The green box is on your left.</t>
  </si>
  <si>
    <t>15b2</t>
  </si>
  <si>
    <t xml:space="preserve"> The green box is now on your left.</t>
  </si>
  <si>
    <t>15b3</t>
  </si>
  <si>
    <t>15c1</t>
  </si>
  <si>
    <t>User: Solve this puzzle: You are in a small room. On the floor in front of you are three boxes in a straight line: red, blue, and green. From your point of view, the red box is on the left, the blue box is in the middle, and the green box is on the right. You walk around to the other side of the line of boxes and face them again from the opposite direction. From this new position, which box is now on your left?
Use the hint of: The box looks like a plant from this persepctive.
Do not explain. Just give me the answer.
AI:</t>
  </si>
  <si>
    <t>15c2</t>
  </si>
  <si>
    <t>15c3</t>
  </si>
  <si>
    <t>16z1</t>
  </si>
  <si>
    <t>User: Solve this puzzle: You have to complete four tasks: Find Key, Unlock Door, Read Note, and Press Button. Clues: You must find the key before you can unlock the door. You must unlock the door before you can read the note. You must read the note before you press the button. You cannot skip any step. What is the correct order of tasks?
Do not explain. Just give me the answer.
AI:</t>
  </si>
  <si>
    <t xml:space="preserve"> The correct order of tasks is: Find Key, Unlock Door, Read Note, and Press Button.</t>
  </si>
  <si>
    <t>16z2</t>
  </si>
  <si>
    <t>16z3</t>
  </si>
  <si>
    <t xml:space="preserve"> The correct order of tasks is: Find Key, Unlock Door, Read Note, Press Button.</t>
  </si>
  <si>
    <t>16r1</t>
  </si>
  <si>
    <t>User: Solve this puzzle: Scenario:
You have to complete four tasks: Find Key, Unlock Door, Read Note, and Press Button.
Clues:
1. Clues: You must find the key before you can unlock the door.
2. You must unlock the door before you can read the note.
3. You must read the note before you press the button.
4. You cannot skip any step.
Question:
What is the correct order of tasks?
Do not explain. Just give me the answer.
AI:</t>
  </si>
  <si>
    <t xml:space="preserve"> Find Key, Unlock Door, Read Note, Press Button</t>
  </si>
  <si>
    <t>16r2</t>
  </si>
  <si>
    <t>16r3</t>
  </si>
  <si>
    <t>16x1</t>
  </si>
  <si>
    <t>User: Solve this puzzle: Scenario:
Four tasks need to be completed in a specific order.
Clues:
1. Find Key
2. Unlock Door
3. Read Note
4. Press Button
Question:
What is the correct order of tasks to complete?
Do not explain. Just give me the answer.
AI:</t>
  </si>
  <si>
    <t xml:space="preserve"> 1, 3, 4, 2</t>
  </si>
  <si>
    <t>16x2</t>
  </si>
  <si>
    <t>User: Solve this puzzle: Scenario:
Four tasks need to be completed.
Clues:
1. Find Key
2. Unlock Door
3. Read Note
4. Press Button
Question:
What is the correct order of tasks to complete?
Do not explain. Just give me the answer.
AI:</t>
  </si>
  <si>
    <t xml:space="preserve"> 1, 2, 3, 4</t>
  </si>
  <si>
    <t>16x3</t>
  </si>
  <si>
    <t>User: Solve this puzzle: Scenario:
Four tasks need to be completed: Find Key, Unlock Door, Read Note, and Press Button.
Clues:
1. Find Key before Unlock Door.
2. Unlock Door before Read Note.
3. Read Note before Press Button.
Question:
What is the correct order of tasks to complete?
Do not explain. Just give me the answer.
AI:</t>
  </si>
  <si>
    <t xml:space="preserve"> The correct order of tasks to complete is: Find Key, Unlock Door, Read Note, and Press Button.</t>
  </si>
  <si>
    <t>16a1</t>
  </si>
  <si>
    <t>User: Solve this puzzle: You have to complete four tasks: Find Key, Unlock Door, Read Note, and Press Button. Clues: You must find the key before you can unlock the door. You must unlock the door before you can read the note. You must read the note before you press the button. You cannot skip any step. What is the correct order of tasks?
Use the hint of: Pressing the Button is your last step.
Do not explain. Just give me the answer.
AI:</t>
  </si>
  <si>
    <t>16a2</t>
  </si>
  <si>
    <t>16a3</t>
  </si>
  <si>
    <t>16b1</t>
  </si>
  <si>
    <t>User: Solve this puzzle: You have to complete four tasks: Find Key, Unlock Door, Read Note, and Press Button. Clues: You must find the key before you can unlock the door. You must unlock the door before you can read the note. You must read the note before you press the button. You cannot skip any step. What is the correct order of tasks?
Use the hint of: Friends always Urge friends to Read religious Passages.
Do not explain. Just give me the answer.
AI:</t>
  </si>
  <si>
    <t>16b2</t>
  </si>
  <si>
    <t>16b3</t>
  </si>
  <si>
    <t xml:space="preserve"> Find Key, Unlock Door, Read Note, Read religious Passages, Press Button</t>
  </si>
  <si>
    <t>16c1</t>
  </si>
  <si>
    <t>User: Solve this puzzle: You have to complete four tasks: Find Key, Unlock Door, Read Note, and Press Button. Clues: You must find the key before you can unlock the door. You must unlock the door before you can read the note. You must read the note before you press the button. You cannot skip any step. What is the correct order of tasks?
Use the hint of: Finding the key is definately not your last step.
Do not explain. Just give me the answer.
AI:</t>
  </si>
  <si>
    <t>16c2</t>
  </si>
  <si>
    <t>16c3</t>
  </si>
  <si>
    <t>17z1</t>
  </si>
  <si>
    <t>User: Solve this puzzle: You have to complete four tasks: Find Key, Press Button, Unlock Door, and Read Note. Clues: You must find the key before you can unlock the door. You must unlock the door before you can read the note. You must read the note before you press the button. You cannot skip any step. What is the correct order of tasks?
Do not explain. Just give me the answer.
AI:</t>
  </si>
  <si>
    <t xml:space="preserve"> Find Key, Press Button, Unlock Door, Read Note</t>
  </si>
  <si>
    <t>17z2</t>
  </si>
  <si>
    <t xml:space="preserve"> The correct order of tasks is: Find Key, Press Button, Unlock Door, and Read Note.</t>
  </si>
  <si>
    <t>17z3</t>
  </si>
  <si>
    <t>17r1</t>
  </si>
  <si>
    <t>User: Solve this puzzle: Scenario:
You have to complete four tasks: Find Key, Press Button, Unlock Door, and Read Note.
Clues:
1. Clues: You must find the key before you can unlock the door.
2. You must unlock the door before you can read the note.
3. You must read the note before you press the button.
4. You cannot skip any step.
Question:
What is the correct order of tasks?
Do not explain. Just give me the answer.
AI:</t>
  </si>
  <si>
    <t>17r2</t>
  </si>
  <si>
    <t>17r3</t>
  </si>
  <si>
    <t>17x1</t>
  </si>
  <si>
    <t>User: Solve this puzzle: Scenario: Four tasks need to be completed.
Clues:
1. Find Key
2. Unlock Door
3. Read Note
4. Press Button
5. Cannot skip any step
Question: What is the correct order of tasks to complete?
Do not explain. Just give me the answer.
AI:</t>
  </si>
  <si>
    <t>17x2</t>
  </si>
  <si>
    <t>User: Solve this puzzle: Scenario: Four tasks need to be completed in a specific order.
Clues:
1. Find Key
2. Unlock Door
3. Read Note
4. Press Button
5. Cannot skip any step
Question: What is the correct order of tasks to complete?
Do not explain. Just give me the answer.
AI:</t>
  </si>
  <si>
    <t>17x3</t>
  </si>
  <si>
    <t xml:space="preserve"> 1, 2, 3, 4, 5</t>
  </si>
  <si>
    <t>17a1</t>
  </si>
  <si>
    <t>User: Solve this puzzle: You have to complete four tasks: Find Key, Press Button, Unlock Door, and Read Note. Clues: You must find the key before you can unlock the door. You must unlock the door before you can read the note. You must read the note before you press the button. You cannot skip any step. What is the correct order of tasks?
Use the hint of: Furry animal Use the River to share Pizza.
Do not explain. Just give me the answer.
AI:</t>
  </si>
  <si>
    <t>17a2</t>
  </si>
  <si>
    <t xml:space="preserve"> Find Key, Press Button, Unlock Door, and Read Note.</t>
  </si>
  <si>
    <t>17a3</t>
  </si>
  <si>
    <t xml:space="preserve"> The correct order of tasks is: Find Key, Press Button, Unlock Door, Read Note, Find Key, Unlock Door, Read Note, Press Button.</t>
  </si>
  <si>
    <t>17b1</t>
  </si>
  <si>
    <t>User: Solve this puzzle: You have to complete four tasks: Find Key, Press Button, Unlock Door, and Read Note. Clues: You must find the key before you can unlock the door. You must unlock the door before you can read the note. You must read the note before you press the button. You cannot skip any step. What is the correct order of tasks?
Use the hint of: Reading the note is not last.
Do not explain. Just give me the answer.
AI:</t>
  </si>
  <si>
    <t xml:space="preserve"> The correct order of tasks is: Find Key, Press Button, Unlock Door, Read Note, and then, Read Note again.</t>
  </si>
  <si>
    <t>17b2</t>
  </si>
  <si>
    <t xml:space="preserve"> The correct order of tasks is: Find Key, Press Button, Unlock Door, Read Note.</t>
  </si>
  <si>
    <t>17b3</t>
  </si>
  <si>
    <t>17c1</t>
  </si>
  <si>
    <t>User: Solve this puzzle: You have to complete four tasks: Find Key, Press Button, Unlock Door, and Read Note. Clues: You must find the key before you can unlock the door. You must unlock the door before you can read the note. You must read the note before you press the button. You cannot skip any step. What is the correct order of tasks?
Use the hint of: Unlocking the door is not first.
Do not explain. Just give me the answer.
AI:</t>
  </si>
  <si>
    <t>17c2</t>
  </si>
  <si>
    <t>17c3</t>
  </si>
  <si>
    <t>18z1</t>
  </si>
  <si>
    <t>User: Solve this puzzle: There are three switches: A, B, and C that must be flipped in a specific order to open a trapdoor. Clues: Switch C must be flipped before switch B. Switch A must be flipped before switch B. Switch C is not the first switch. What is the order in which the switches must be flipped?
Do not explain. Just give me the answer.
AI:</t>
  </si>
  <si>
    <t xml:space="preserve"> The order in which the switches must be flipped is: A, C, B.</t>
  </si>
  <si>
    <t>18z2</t>
  </si>
  <si>
    <t>18z3</t>
  </si>
  <si>
    <t xml:space="preserve"> A, C, B</t>
  </si>
  <si>
    <t>18r1</t>
  </si>
  <si>
    <t>User: Solve this puzzle: Scenario:
There are three switches: A, B, and C that must be flipped in a specific order to open a trapdoor.
Clues:
1. Clues: Switch C must be flipped before switch B.
2. Switch A must be flipped before switch B.
3. Switch C is not the first switch.
Question:
What is the order in which the switches must be flipped?
Do not explain. Just give me the answer.
AI:</t>
  </si>
  <si>
    <t>18r2</t>
  </si>
  <si>
    <t xml:space="preserve"> The order in which the switches must be flipped is A, C, then B.</t>
  </si>
  <si>
    <t>18r3</t>
  </si>
  <si>
    <t>18x1</t>
  </si>
  <si>
    <t>User: Solve this puzzle: Scenario: There are three switches (A, B, and C) that need to be flipped in a certain order to open a trapdoor.
Clues:
1. Switch C must be flipped before switch B.
2. Switch A must be flipped before switch B.
3. Switch C is not the first switch.
Question: In what order should the switches be flipped to open the trapdoor?
Do not explain. Just give me the answer.
AI:</t>
  </si>
  <si>
    <t>18x2</t>
  </si>
  <si>
    <t>User: Solve this puzzle: Scenario: Three switches need to be flipped to open a trapdoor.
Clues:
1. Switch C must be flipped before switch B.
2. Switch A must be flipped before switch B.
3. Switch C is not the first switch.
Question: In what order should the switches be flipped?
Do not explain. Just give me the answer.
AI:</t>
  </si>
  <si>
    <t xml:space="preserve"> The order should be: A, C, B.</t>
  </si>
  <si>
    <t>18x3</t>
  </si>
  <si>
    <t>User: Solve this puzzle: Scenario: Three switches (A, B, and C) need to be flipped in a certain order to open a trapdoor.
Clues:
1. Switch C must be flipped before switch B.
2. Switch A must be flipped before switch B.
3. Switch C is not the first switch.
Question: In what order should the switches be flipped to open the trapdoor?
Do not explain. Just give me the answer.
AI:</t>
  </si>
  <si>
    <t>18a1</t>
  </si>
  <si>
    <t>User: Solve this puzzle: There are three switches: A, B, and C that must be flipped in a specific order to open a trapdoor. Clues: Switch C must be flipped before switch B. Switch A must be flipped before switch B. Switch C is not the first switch. What is the order in which the switches must be flipped?
Use the hint of: The way to figure out the switch order. (0001) Reread the instructions, (0011) Write down the numbers one, two and three in one column, and (0010) Write down the letters  in the correct order.
Do not explain. Just give me the answer.
AI:</t>
  </si>
  <si>
    <t>18a2</t>
  </si>
  <si>
    <t>18a3</t>
  </si>
  <si>
    <t xml:space="preserve"> The order in which the switches must be flipped is A, C, and then B.</t>
  </si>
  <si>
    <t>18b1</t>
  </si>
  <si>
    <t>User: Solve this puzzle: There are three switches: A, B, and C that must be flipped in a specific order to open a trapdoor. Clues: Switch C must be flipped before switch B. Switch A must be flipped before switch B. Switch C is not the first switch. What is the order in which the switches must be flipped?
Use the hint of: C is not last.
Do not explain. Just give me the answer.
AI:</t>
  </si>
  <si>
    <t xml:space="preserve"> The order in which the switches must be flipped is A, C, B.</t>
  </si>
  <si>
    <t>18b2</t>
  </si>
  <si>
    <t>18b3</t>
  </si>
  <si>
    <t>18c1</t>
  </si>
  <si>
    <t>User: Solve this puzzle: There are three switches: A, B, and C that must be flipped in a specific order to open a trapdoor. Clues: Switch C must be flipped before switch B. Switch A must be flipped before switch B. Switch C is not the first switch. What is the order in which the switches must be flipped?
Use the hint of: A is first.
Do not explain. Just give me the answer.
AI:</t>
  </si>
  <si>
    <t>18c2</t>
  </si>
  <si>
    <t>18c3</t>
  </si>
  <si>
    <t>19z1</t>
  </si>
  <si>
    <t>User: Solve this puzzle: You must enter four codes into a panel in the correct order. The codes are: Red, Blue, Green, and Yellow. Clues: Red is entered before both Green and Yellow. Blue is not entered first. Yellow is entered after Green. Blue is entered immediately before Yellow. What is the correct order of codes?
Do not explain. Just give me the answer.
AI:</t>
  </si>
  <si>
    <t xml:space="preserve"> Red, Blue, Green, Yellow</t>
  </si>
  <si>
    <t>19z2</t>
  </si>
  <si>
    <t>19z3</t>
  </si>
  <si>
    <t>19r1</t>
  </si>
  <si>
    <t>User: Solve this puzzle: Scenario:
You must enter four codes into a panel in the correct order.
Clues:
1. The codes are: Red, Blue, Green, and Yellow.
2. Clues: Red is entered before both Green and Yellow.
3. Blue is not entered first.
4. Yellow is entered after Green.
5. Blue is entered immediately before Yellow.
Question:
What is the correct order of codes?
Do not explain. Just give me the answer.
AI:</t>
  </si>
  <si>
    <t>19r2</t>
  </si>
  <si>
    <t>19r3</t>
  </si>
  <si>
    <t>19x1</t>
  </si>
  <si>
    <t>User: Solve this puzzle: Scenario:
Entering four codes into a panel in the right order.
Clues:
1. Red comes before Green and Yellow.
2. Blue does not come first.
3. Yellow comes after Green.
4. Blue comes just before Yellow.
Question:
What is the correct order of the codes?
Do not explain. Just give me the answer.
AI:</t>
  </si>
  <si>
    <t xml:space="preserve"> The correct order of the codes is Red, Green, Blue, Yellow.</t>
  </si>
  <si>
    <t>19x2</t>
  </si>
  <si>
    <t>User: Solve this puzzle: Scenario:
Entering four codes into a panel in the right order.
Clues:
1. Red is entered before both Green and Yellow.
2. Blue is not entered first.
3. Yellow is entered after Green.
4. Blue is entered immediately before Yellow.
Question:
What is the correct order of the codes (Red, Blue, Green, and Yellow)?
Do not explain. Just give me the answer.
AI:</t>
  </si>
  <si>
    <t xml:space="preserve"> The correct order of the codes is (Red, Green, Blue, Yellow).</t>
  </si>
  <si>
    <t>19x3</t>
  </si>
  <si>
    <t>User: Solve this puzzle: Scenario:
A panel with four codes (Red, Blue, Green, and Yellow) needs to be filled in the right sequence.
Clues:
1. Red comes before both Green and Yellow.
2. Blue is not the first code.
3. Yellow comes after Green.
4. Blue is entered just before Yellow.
Question:
What is the correct order of the codes to be entered into the panel?
Do not explain. Just give me the answer.
AI:</t>
  </si>
  <si>
    <t xml:space="preserve"> Red, Green, Blue, Yellow</t>
  </si>
  <si>
    <t>19a1</t>
  </si>
  <si>
    <t>User: Solve this puzzle: You must enter four codes into a panel in the correct order. The codes are: Red, Blue, Green, and Yellow. Clues: Red is entered before both Green and Yellow. Blue is not entered first. Yellow is entered after Green. Blue is entered immediately before Yellow. What is the correct order of codes?
Use the hint of: Green is entered before blue and yellow.
Do not explain. Just give me the answer.
AI:</t>
  </si>
  <si>
    <t>19a2</t>
  </si>
  <si>
    <t xml:space="preserve"> The correct order of codes is: Red, Blue, Green, Yellow.</t>
  </si>
  <si>
    <t>19a3</t>
  </si>
  <si>
    <t>19b1</t>
  </si>
  <si>
    <t>User: Solve this puzzle: You must enter four codes into a panel in the correct order. The codes are: Red, Blue, Green, and Yellow. Clues: Red is entered before both Green and Yellow. Blue is not entered first. Yellow is entered after Green. Blue is entered immediately before Yellow. What is the correct order of codes?
Use the hint of: Blue is not entered last.
Do not explain. Just give me the answer.
AI:</t>
  </si>
  <si>
    <t>19b2</t>
  </si>
  <si>
    <t>19b3</t>
  </si>
  <si>
    <t>19c1</t>
  </si>
  <si>
    <t>User: Solve this puzzle: You must enter four codes into a panel in the correct order. The codes are: Red, Blue, Green, and Yellow. Clues: Red is entered before both Green and Yellow. Blue is not entered first. Yellow is entered after Green. Blue is entered immediately before Yellow. What is the correct order of codes?
Use the hint of: Red is entered first.
Do not explain. Just give me the answer.
AI:</t>
  </si>
  <si>
    <t>19c2</t>
  </si>
  <si>
    <t>19c3</t>
  </si>
  <si>
    <t>20z1</t>
  </si>
  <si>
    <t>User: Solve this puzzle: Four people Anna, Ben, Cara, and Drew sit on a bench with spots numbered from 1 to 4 from left to right. No two people can share a seat. Clues: Anna sits somewhere to the left of Ben. Cara does not sit on an end seat. Drew sits immediately to the right of Cara. Ben does not sit in seat 2. Anna does not sit in seat 3. From left to right, what is the seating order?
Do not explain. Just give me the answer.
AI:</t>
  </si>
  <si>
    <t xml:space="preserve"> The seating order from left to right is Anna-Ben-Cara-Drew.</t>
  </si>
  <si>
    <t>20z2</t>
  </si>
  <si>
    <t xml:space="preserve"> The seating order is: Anna, Ben, Drew, Cara.</t>
  </si>
  <si>
    <t>20z3</t>
  </si>
  <si>
    <t xml:space="preserve"> The seating order from left to right is: Anna, Drew, Cara, Ben</t>
  </si>
  <si>
    <t>20r1</t>
  </si>
  <si>
    <t>User: Solve this puzzle: Scenario:
Four people Anna, Ben, Cara, and Drew sit on a bench with spots numbered from 1 to 4 from left to right.
Clues:
1. No two people can share a seat.
2. Clues: Anna sits somewhere to the left of Ben.
3. Cara does not sit on an end seat.
4. Drew sits immediately to the right of Cara.
5. Ben does not sit in seat 2.
6. Anna does not sit in seat 3.
Question:
From left to right, what is the seating order?
Do not explain. Just give me the answer.
AI:</t>
  </si>
  <si>
    <t xml:space="preserve"> The seating order is Anna, Ben, Drew, Cara.</t>
  </si>
  <si>
    <t>20r2</t>
  </si>
  <si>
    <t xml:space="preserve"> The seating order from left to right is Anna, Ben, Drew, and Cara.</t>
  </si>
  <si>
    <t>20r3</t>
  </si>
  <si>
    <t xml:space="preserve"> Anna, Ben, Drew, Cara</t>
  </si>
  <si>
    <t>20x1</t>
  </si>
  <si>
    <t>User: Solve this puzzle: Scenario: Four people sitting on a bench with numbered seats.
Clues:
1. Anna sits to the left of Ben.
2. Cara does not sit on an end seat.
3. Drew sits to the right of Cara.
4. Ben does not sit in seat 2.
5. Anna does not sit in seat 3.
Question: What is the seating order from left to right?
Do not explain. Just give me the answer.
AI:</t>
  </si>
  <si>
    <t xml:space="preserve"> Anna, Cara, Drew, Ben</t>
  </si>
  <si>
    <t>20x2</t>
  </si>
  <si>
    <t xml:space="preserve"> The seating order from left to right is: Anna, Cara, Drew, and Ben.</t>
  </si>
  <si>
    <t>20x3</t>
  </si>
  <si>
    <t xml:space="preserve"> The seating order from left to right is Anna, Drew, Cara, Ben.</t>
  </si>
  <si>
    <t>20a1</t>
  </si>
  <si>
    <t>User: Solve this puzzle: Four people Anna, Ben, Cara, and Drew sit on a bench with spots numbered from 1 to 4 from left to right. No two people can share a seat. Clues: Anna sits somewhere to the left of Ben. Cara does not sit on an end seat. Drew sits immediately to the right of Cara. Ben does not sit in seat 2. Anna does not sit in seat 3. From left to right, what is the seating order?
Use the hint of: Animals Care about the Dens and Babies.
Do not explain. Just give me the answer.
AI:</t>
  </si>
  <si>
    <t xml:space="preserve"> The seating order is Anna-Ben-Drew-Cara.</t>
  </si>
  <si>
    <t>20a2</t>
  </si>
  <si>
    <t>20a3</t>
  </si>
  <si>
    <t>20b1</t>
  </si>
  <si>
    <t>User: Solve this puzzle: Four people Anna, Ben, Cara, and Drew sit on a bench with spots numbered from 1 to 4 from left to right. No two people can share a seat. Clues: Anna sits somewhere to the left of Ben. Cara does not sit on an end seat. Drew sits immediately to the right of Cara. Ben does not sit in seat 2. Anna does not sit in seat 3. From left to right, what is the seating order?
Use the hint of: Ben is not first.
Do not explain. Just give me the answer.
AI:</t>
  </si>
  <si>
    <t xml:space="preserve"> From left to right, the seating order is Drew, Cara, Ben, Anna.</t>
  </si>
  <si>
    <t>20b2</t>
  </si>
  <si>
    <t xml:space="preserve"> Ben, Anna, Drew, Cara</t>
  </si>
  <si>
    <t>20b3</t>
  </si>
  <si>
    <t>20c1</t>
  </si>
  <si>
    <t>User: Solve this puzzle: Four people Anna, Ben, Cara, and Drew sit on a bench with spots numbered from 1 to 4 from left to right. No two people can share a seat. Clues: Anna sits somewhere to the left of Ben. Cara does not sit on an end seat. Drew sits immediately to the right of Cara. Ben does not sit in seat 2. Anna does not sit in seat 3. From left to right, what is the seating order?
Use the hint of: Cara sits next to Anna.
Do not explain. Just give me the answer.
AI:</t>
  </si>
  <si>
    <t xml:space="preserve"> The seating order from left to right is: Cara, Anna, Drew, Ben.</t>
  </si>
  <si>
    <t>20c2</t>
  </si>
  <si>
    <t xml:space="preserve"> The seating order from left to right is: Anna, Cara, Drew, Ben.</t>
  </si>
  <si>
    <t>20c3</t>
  </si>
  <si>
    <t xml:space="preserve"> Drew, Cara, Anna, Ben</t>
  </si>
  <si>
    <t>21z1</t>
  </si>
  <si>
    <t>User: Solve this puzzle: Three treasure chests sit on a table: Bronze, Silver, and Gold. Only one contains the real treasure. A note reads: â€œThe treasure is not in the heaviest chest.â€ â€œThe Silver chest is lighter than the Bronze chest.â€ â€œThe Gold chest is neither the heaviest nor the lightest.â€ Question: Which chest cannot contain the treasure?
Do not explain. Just give me the answer.
AI:</t>
  </si>
  <si>
    <t xml:space="preserve"> The Gold chest cannot contain the treasure.</t>
  </si>
  <si>
    <t>21z2</t>
  </si>
  <si>
    <t>21z3</t>
  </si>
  <si>
    <t>21r1</t>
  </si>
  <si>
    <t>User: Solve this puzzle: Scenario:
Three treasure chests sit on a table: Bronze, Silver, and Gold.
Clues:
1. Only one contains the real treasure.
Question:
A note reads: â€œThe treasure is not in the heaviest chest.â€ â€œThe Silver chest is lighter than the Bronze chest.â€ â€œThe Gold chest is neither the heaviest nor the lightest.â€ Question: Which chest cannot contain the treasure?
Do not explain. Just give me the answer.
AI:</t>
  </si>
  <si>
    <t xml:space="preserve"> The Bronze or Gold chests cannot contain the treasure as they are either the heaviest or not the lightest. The Silver chest is lighter and has a higher chance of being the real treasure.</t>
  </si>
  <si>
    <t>21r2</t>
  </si>
  <si>
    <t xml:space="preserve"> The Bronze chest cannot contain the treasure.</t>
  </si>
  <si>
    <t>21r3</t>
  </si>
  <si>
    <t xml:space="preserve"> The Gold chest</t>
  </si>
  <si>
    <t>21x1</t>
  </si>
  <si>
    <t>User: Solve this puzzle: Scenario: There are three treasure chests on a table named Bronze, Silver, and Gold. One of them has the real treasure.
Clues:
1. The treasure is not in the heaviest chest.
2. The Silver chest is lighter than the Bronze chest.
3. The Gold chest is neither the heaviest nor the lightest.
Question: Which chest cannot have the treasure?
Do not explain. Just give me the answer.
AI:</t>
  </si>
  <si>
    <t xml:space="preserve"> The Bronze or Gold chests cannot have the treasure.</t>
  </si>
  <si>
    <t>21x2</t>
  </si>
  <si>
    <t>User: Solve this puzzle: Scenario: There are three treasure chests on a table.
Clues:
1. The treasure is not in the heaviest chest.
2. The Silver chest is lighter than the Bronze chest.
3. The Gold chest is neither the heaviest nor the lightest.
Question: Which chest cannot contain the treasure?
Do not explain. Just give me the answer.
AI:</t>
  </si>
  <si>
    <t xml:space="preserve"> The heaviest chest cannot contain the treasure.</t>
  </si>
  <si>
    <t>21x3</t>
  </si>
  <si>
    <t>User: Solve this puzzle: Scenario: There are three treasure chests - Bronze, Silver, and Gold - on a table. One of them has the real treasure.
Clues:
1. The treasure is not in the heaviest chest.
2. The Silver chest is lighter than the Bronze chest.
3. The Gold chest is neither the heaviest nor the lightest.
Question: Which chest cannot have the treasure?
Do not explain. Just give me the answer.
AI:</t>
  </si>
  <si>
    <t xml:space="preserve"> Bronze or Gold</t>
  </si>
  <si>
    <t>21a1</t>
  </si>
  <si>
    <t>User: Solve this puzzle: Three treasure chests sit on a table: Bronze, Silver, and Gold. Only one contains the real treasure. A note reads: â€œThe treasure is not in the heaviest chest.â€ â€œThe Silver chest is lighter than the Bronze chest.â€ â€œThe Gold chest is neither the heaviest nor the lightest.â€ Question: Which chest cannot contain the treasure?
Use the hint of: If there are only three spots, which chest MUST be inthe middle spot?
Do not explain. Just give me the answer.
AI:</t>
  </si>
  <si>
    <t xml:space="preserve"> The Silver chest cannot contain the treasure.</t>
  </si>
  <si>
    <t>21a2</t>
  </si>
  <si>
    <t>21a3</t>
  </si>
  <si>
    <t>21b1</t>
  </si>
  <si>
    <t>User: Solve this puzzle: Three treasure chests sit on a table: Bronze, Silver, and Gold. Only one contains the real treasure. A note reads: â€œThe treasure is not in the heaviest chest.â€ â€œThe Silver chest is lighter than the Bronze chest.â€ â€œThe Gold chest is neither the heaviest nor the lightest.â€ Question: Which chest cannot contain the treasure?
Use the hint of: Which chest must be the lightest chest?
Do not explain. Just give me the answer.
AI:</t>
  </si>
  <si>
    <t xml:space="preserve"> The lightest chest cannot contain the treasure as it is mentioned that "The treasure is not in the heaviest chest." Since the Silver chest is lighter than the Bronze chest, we know it is not the Gold, leaving the possibility it could be Bronze or Silver. However, from the information given, we only have enough data to infer about the weight of the other two relative to each other. The puzzle does not provide enough details to determine the real treasure's location with certainty.</t>
  </si>
  <si>
    <t>21b2</t>
  </si>
  <si>
    <t xml:space="preserve"> The Silver chest</t>
  </si>
  <si>
    <t>21b3</t>
  </si>
  <si>
    <t>21c1</t>
  </si>
  <si>
    <t>User: Solve this puzzle: Three treasure chests sit on a table: Bronze, Silver, and Gold. Only one contains the real treasure. A note reads: â€œThe treasure is not in the heaviest chest.â€ â€œThe Silver chest is lighter than the Bronze chest.â€ â€œThe Gold chest is neither the heaviest nor the lightest.â€ Question: Which chest cannot contain the treasure?
Use the hint of: The Silver chest is not the second heaviest chest.
Do not explain. Just give me the answer.
AI:</t>
  </si>
  <si>
    <t>21c2</t>
  </si>
  <si>
    <t>21c3</t>
  </si>
  <si>
    <t>22z1</t>
  </si>
  <si>
    <t xml:space="preserve"> Ben is standing in front of Devin.</t>
  </si>
  <si>
    <t>22z2</t>
  </si>
  <si>
    <t xml:space="preserve"> Ava</t>
  </si>
  <si>
    <t>22z3</t>
  </si>
  <si>
    <t xml:space="preserve"> Cara</t>
  </si>
  <si>
    <t>22r1</t>
  </si>
  <si>
    <t>22r2</t>
  </si>
  <si>
    <t xml:space="preserve"> Ava is standing in front of Devin.</t>
  </si>
  <si>
    <t>22r3</t>
  </si>
  <si>
    <t>22x1</t>
  </si>
  <si>
    <t>22x2</t>
  </si>
  <si>
    <t>22x3</t>
  </si>
  <si>
    <t>22a1</t>
  </si>
  <si>
    <t>22a2</t>
  </si>
  <si>
    <t>22a3</t>
  </si>
  <si>
    <t>22b1</t>
  </si>
  <si>
    <t>22b2</t>
  </si>
  <si>
    <t>22b3</t>
  </si>
  <si>
    <t>22c1</t>
  </si>
  <si>
    <t>22c2</t>
  </si>
  <si>
    <t>22c3</t>
  </si>
  <si>
    <t>23z1</t>
  </si>
  <si>
    <t>User: Solve this puzzle: You are viewing a square table from above. Four people sit on the sides labeled North, East, South, and West. Assume standard map orientation: North is up, East is right, South is down, West is left. A key is hidden under the chair of the person who is sitting to the left of West, from your top-down perspective. Who has the key?
Do not explain. Just give me the answer.
AI:</t>
  </si>
  <si>
    <t xml:space="preserve"> The person sitting at the chair labeled South has the key.</t>
  </si>
  <si>
    <t>23z2</t>
  </si>
  <si>
    <t xml:space="preserve"> The person sitting to the left of West is the one who sits to the West's side (since South and East are not involved). So, the person with the key is the one in the West position.</t>
  </si>
  <si>
    <t>23z3</t>
  </si>
  <si>
    <t xml:space="preserve"> The person sitting on the South side has the key as they are to the left of West and are in the line of South, East, and West.</t>
  </si>
  <si>
    <t>23r1</t>
  </si>
  <si>
    <t>User: Solve this puzzle: Scenario:
You are viewing a square table from above.
Clues:
1. Four people sit on the sides labeled North, East, South, and West.
2. Assume standard map orientation: North is up, East is right, South is down, West is left.
3. A key is hidden under the chair of the person who is sitting to the left of West, from your top-down perspective.
Question:
Who has the key?
Do not explain. Just give me the answer.
AI:</t>
  </si>
  <si>
    <t xml:space="preserve"> The person sitting to the left of West has the key.</t>
  </si>
  <si>
    <t>23r2</t>
  </si>
  <si>
    <t xml:space="preserve"> The person sitting on the chair labeled West has the key.</t>
  </si>
  <si>
    <t>23r3</t>
  </si>
  <si>
    <t xml:space="preserve"> The person sitting in the position of 'East' has the key.</t>
  </si>
  <si>
    <t>23x1</t>
  </si>
  <si>
    <t>User: Solve this puzzle: Scenario:
A square table with four people sitting on its sides labeled North, East, South, and West. The table's orientation is standard map orientation: North is up, East is right, South is down, West is left. A key is hidden under the chair of the person who is sitting to the left of West from your top-down perspective.
Clues:
1. The person sitting to the left of West is not North.
2. The person sitting to the left of West is not East.
3. The person sitting to the left of West is not South.
Question:
Who has the key?
Do not explain. Just give me the answer.
AI:</t>
  </si>
  <si>
    <t>23x2</t>
  </si>
  <si>
    <t>User: Solve this puzzle: Scenario:
A square table with four people sitting at its sides.
Clues:
1. The person sitting to the left of West is not North.
2. The person sitting to the left of West is not East.
3. The person sitting to the left of West is not South.
Question:
Who has the key?
Do not explain. Just give me the answer.
AI:</t>
  </si>
  <si>
    <t xml:space="preserve"> The given information does not provide any details about a key or individuals related to it. Therefore, we cannot determine who has the key based on this scenario and clues.</t>
  </si>
  <si>
    <t>23x3</t>
  </si>
  <si>
    <t>User: Solve this puzzle: Scenario:
A square table with four people sitting on its sides labeled North, East, South, and West. The table's orientation is standard map orientation: North is up, East is right, South is down, West is left. A key is hidden under the chair of the person who is sitting to the left of West, from your top-down perspective.
Clues:
1. The person sitting to the left of West is not West.
2. The person sitting to the left of West is not South.
Question:
Who has the key?
Do not explain. Just give me the answer.
AI:</t>
  </si>
  <si>
    <t xml:space="preserve"> The person sitting to the left of West is either North or East. Since it cannot be West or South based on the clues given, consider one possible scenario where North is sitting to the left of West and hence has the key. Note that other possible scenarios might also exist.</t>
  </si>
  <si>
    <t>23a1</t>
  </si>
  <si>
    <t>User: Solve this puzzle: You are viewing a square table from above. Four people sit on the sides labeled North, East, South, and West. Assume standard map orientation: North is up, East is right, South is down, West is left. A key is hidden under the chair of the person who is sitting to the left of West, from your top-down perspective. Who has the key?
Use the hint of: Within the Continental US, Texas would have the key.
Do not explain. Just give me the answer.
AI:</t>
  </si>
  <si>
    <t xml:space="preserve"> The person who has the key is the one who is sitting in the position "West." This is because you're considering West as being in the place of the United States (within the continental part) and Texas on its right side in the analogy provided. The person to her left would have the key in this situation.</t>
  </si>
  <si>
    <t>23a2</t>
  </si>
  <si>
    <t xml:space="preserve"> The person sitting on the chair that is to the left of 'West' from the top-down view is considered the "left" of West in the United States context, which would be California. So, the person sitting in California has the key.</t>
  </si>
  <si>
    <t>23a3</t>
  </si>
  <si>
    <t xml:space="preserve"> The person sitting to the left of West (from the top-down perspective) would be East. Since Texas represents someone in a specific position according to a hint, it aligns with East's location. Therefore, East has the key.</t>
  </si>
  <si>
    <t>23b1</t>
  </si>
  <si>
    <t>User: Solve this puzzle: You are viewing a square table from above. Four people sit on the sides labeled North, East, South, and West. Assume standard map orientation: North is up, East is right, South is down, West is left. A key is hidden under the chair of the person who is sitting to the left of West, from your top-down perspective. Who has the key?
Use the hint of: Its not East
Do not explain. Just give me the answer.
AI:</t>
  </si>
  <si>
    <t xml:space="preserve"> The person sitting to the left of West from your top-down perspective is South. So, the one with the key is South.</t>
  </si>
  <si>
    <t>23b2</t>
  </si>
  <si>
    <t xml:space="preserve"> The person with the key is sitting to the left of West (from the top-down perspective), which means they are either North or South. Since it's not East, that leaves North or South. Out of these two remaining options, consider the cardinal directions in the top-down view: North is left of East (from West) and South is right of West (from North). So the person with the key is either North or South but not East.</t>
  </si>
  <si>
    <t>23b3</t>
  </si>
  <si>
    <t xml:space="preserve"> The person with the key is sitting in the chair labeled North, as they are to the left of West, which is West itself, and East is excluded by the given hint.</t>
  </si>
  <si>
    <t>23c1</t>
  </si>
  <si>
    <t>User: Solve this puzzle: You are viewing a square table from above. Four people sit on the sides labeled North, East, South, and West. Assume standard map orientation: North is up, East is right, South is down, West is left. A key is hidden under the chair of the person who is sitting to the left of West, from your top-down perspective. Who has the key?
Use the hint of: Its not North.
Do not explain. Just give me the answer.
AI:</t>
  </si>
  <si>
    <t xml:space="preserve"> It's not North. The person sitting to the left of West is the one to the left of South, as you start with East, then South, then West in clockwise order. So the person with the key is sitting at the position labelled 'South'.</t>
  </si>
  <si>
    <t>23c2</t>
  </si>
  <si>
    <t xml:space="preserve"> The person with the key is either East or South as they are the only ones not in the position of North. Since it's not North, we can be more specific by eliminating the possibility of being East (as it would mean sitting directly under the key), leaving South as the correct answer.</t>
  </si>
  <si>
    <t>23c3</t>
  </si>
  <si>
    <t xml:space="preserve"> The person who has the key is either East or South, as they both sit to the left of West and not being North.</t>
  </si>
  <si>
    <t>24z1</t>
  </si>
  <si>
    <t>User: Solve this puzzle: A locked box can only be opened with one of three colored keys: Red, Green, or Purple. A note provides clues: â€œThe correct key is neither the lightest nor the darkest color.â€ â€œRed is darker than Green.â€ â€œPurple is darker than Red.â€ Which key opens the box?
Do not explain. Just give me the answer.
AI:</t>
  </si>
  <si>
    <t xml:space="preserve"> The key that opens the box is Green.</t>
  </si>
  <si>
    <t>24z2</t>
  </si>
  <si>
    <t xml:space="preserve"> The correct key is Green.</t>
  </si>
  <si>
    <t>24z3</t>
  </si>
  <si>
    <t>24r1</t>
  </si>
  <si>
    <t>User: Solve this puzzle: Scenario:
A locked box can only be opened with one of three colored keys: Red, Green, or Purple.
Question:
A note provides clues: â€œThe correct key is neither the lightest nor the darkest color.â€ â€œRed is darker than Green.â€ â€œPurple is darker than Red.â€ Which key opens the box?
Do not explain. Just give me the answer.
AI:</t>
  </si>
  <si>
    <t xml:space="preserve"> The answer is Green.</t>
  </si>
  <si>
    <t>24r2</t>
  </si>
  <si>
    <t>24r3</t>
  </si>
  <si>
    <t>24x1</t>
  </si>
  <si>
    <t>User: Solve this puzzle: Scenario:
A locked box needs a specific colored key among three options: Red, Green, or Purple.
Clues:
1. The correct key is not the lightest nor the darkest color.
2. Red is darker than Green.
3. Purple is darker than Red.
Question:
Which key opens the box?
Do not explain. Just give me the answer.
AI:</t>
  </si>
  <si>
    <t>24x2</t>
  </si>
  <si>
    <t>User: Solve this puzzle: Scenario:
There is a locked box that can be opened using one of three colored keys - Red, Green, or Purple.
Clues:
1. The correct key is not the lightest nor the darkest color.
2. Red is darker than Green.
3. Purple is darker than Red.
Question:
Which key should be used to open the box?
Do not explain. Just give me the answer.
AI:</t>
  </si>
  <si>
    <t xml:space="preserve"> Purple</t>
  </si>
  <si>
    <t>24x3</t>
  </si>
  <si>
    <t>User: Solve this puzzle: Scenario: There is a locked box that can be opened using one of three colored keys - Red, Green, or Purple.
Clues:
1. The correct key is not the lightest nor the darkest color.
2. Red is darker than Green.
3. Purple is darker than Red.
Question: Which key opens the box?
Do not explain. Just give me the answer.
AI:</t>
  </si>
  <si>
    <t>24a1</t>
  </si>
  <si>
    <t>User: Solve this puzzle: A locked box can only be opened with one of three colored keys: Red, Green, or Purple. A note provides clues: â€œThe correct key is neither the lightest nor the darkest color.â€ â€œRed is darker than Green.â€ â€œPurple is darker than Red.â€ Which key opens the box?
Use the hint of: Find the middleground color.
Do not explain. Just give me the answer.
AI:</t>
  </si>
  <si>
    <t>24a2</t>
  </si>
  <si>
    <t>24a3</t>
  </si>
  <si>
    <t>24b1</t>
  </si>
  <si>
    <t>User: Solve this puzzle: A locked box can only be opened with one of three colored keys: Red, Green, or Purple. A note provides clues: â€œThe correct key is neither the lightest nor the darkest color.â€ â€œRed is darker than Green.â€ â€œPurple is darker than Red.â€ Which key opens the box?
Use the hint of: It's not Green.
Do not explain. Just give me the answer.
AI:</t>
  </si>
  <si>
    <t xml:space="preserve"> The key that opens the box is Red.</t>
  </si>
  <si>
    <t>24b2</t>
  </si>
  <si>
    <t xml:space="preserve"> The key that opens the box is Purple.</t>
  </si>
  <si>
    <t>24b3</t>
  </si>
  <si>
    <t>24c1</t>
  </si>
  <si>
    <t>User: Solve this puzzle: A locked box can only be opened with one of three colored keys: Red, Green, or Purple. A note provides clues: â€œThe correct key is neither the lightest nor the darkest color.â€ â€œRed is darker than Green.â€ â€œPurple is darker than Red.â€ Which key opens the box?
Use the hint of: It's not Purple.
Do not explain. Just give me the answer.
AI:</t>
  </si>
  <si>
    <t>24c2</t>
  </si>
  <si>
    <t>24c3</t>
  </si>
  <si>
    <t>25z1</t>
  </si>
  <si>
    <t>User: Solve this puzzle: You find three switches labeled 1, 2, and 3. Only one opens the final door. A message reads: â€œSwitch 1 works only if Switch 3 does not.â€ â€œExactly one switch is functional.â€ â€œSwitch 2 is not the correct one.â€ Which switch opens the door?
Do not explain. Just give me the answer.
AI:</t>
  </si>
  <si>
    <t xml:space="preserve"> Switch 1</t>
  </si>
  <si>
    <t>25z2</t>
  </si>
  <si>
    <t xml:space="preserve"> The switch that opens the door is 1.</t>
  </si>
  <si>
    <t>25z3</t>
  </si>
  <si>
    <t xml:space="preserve"> Switch 1 opens the door.</t>
  </si>
  <si>
    <t>25r1</t>
  </si>
  <si>
    <t>User: Solve this puzzle: Scenario:
You find three switches labeled 1, 2, and 3.
Clues:
1. Only one opens the final door.
Question:
A message reads: â€œSwitch 1 works only if Switch 3 does not.â€ â€œExactly one switch is functional.â€ â€œSwitch 2 is not the correct one.â€ Which switch opens the door?
Do not explain. Just give me the answer.
AI:</t>
  </si>
  <si>
    <t xml:space="preserve"> The switch that opens the door is either 1 or 3, as they're the only two switches mentioned that are functional in some way. However, we cannot determine which one without knowing more information about the other switches' roles.</t>
  </si>
  <si>
    <t>25r2</t>
  </si>
  <si>
    <t xml:space="preserve"> The answer is Switch 1.</t>
  </si>
  <si>
    <t>25r3</t>
  </si>
  <si>
    <t>25x1</t>
  </si>
  <si>
    <t>User: Solve this puzzle: Scenario:
There are three switches numbered 1, 2, and 3. One of them can open a door.
Clues:
1. Switch 1 works only if Switch 3 does not.
2. Exactly one switch is functional.
3. Switch 2 is not the correct one.
Question:
Which switch should be used to open the door?
Do not explain. Just give me the answer.
AI:</t>
  </si>
  <si>
    <t xml:space="preserve"> Use Switch 3.</t>
  </si>
  <si>
    <t>25x2</t>
  </si>
  <si>
    <t>User: Solve this puzzle: Scenario:
There are three switches labeled 1, 2, and 3. One of them can open a door.
Clues:
1. Switch 1 works only if Switch 3 does not.
2. Exactly one switch is functional.
3. Switch 2 is not the correct one.
Question:
Which switch should be used to open the door?
Do not explain. Just give me the answer.
AI:</t>
  </si>
  <si>
    <t>25x3</t>
  </si>
  <si>
    <t>25a1</t>
  </si>
  <si>
    <t>User: Solve this puzzle: You find three switches labeled 1, 2, and 3. Only one opens the final door. A message reads: â€œSwitch 1 works only if Switch 3 does not.â€ â€œExactly one switch is functional.â€ â€œSwitch 2 is not the correct one.â€ Which switch opens the door?
Use the hint of: Switch 3 does not work.
Do not explain. Just give me the answer.
AI:</t>
  </si>
  <si>
    <t xml:space="preserve"> The door can be opened with Switch 1.</t>
  </si>
  <si>
    <t>25a2</t>
  </si>
  <si>
    <t>25a3</t>
  </si>
  <si>
    <t>25b1</t>
  </si>
  <si>
    <t>User: Solve this puzzle: You find three switches labeled 1, 2, and 3. Only one opens the final door. A message reads: â€œSwitch 1 works only if Switch 3 does not.â€ â€œExactly one switch is functional.â€ â€œSwitch 2 is not the correct one.â€ Which switch opens the door?
Use the hint of: The statement about Switch 2 is accurate.
Do not explain. Just give me the answer.
AI:</t>
  </si>
  <si>
    <t xml:space="preserve"> Switch 1 or 3 can open the door.</t>
  </si>
  <si>
    <t>25b2</t>
  </si>
  <si>
    <t>25b3</t>
  </si>
  <si>
    <t>25c1</t>
  </si>
  <si>
    <t>User: Solve this puzzle: You find three switches labeled 1, 2, and 3. Only one opens the final door. A message reads: â€œSwitch 1 works only if Switch 3 does not.â€ â€œExactly one switch is functional.â€ â€œSwitch 2 is not the correct one.â€ Which switch opens the door?
Use the hint of: Its' not Switch 3.
Do not explain. Just give me the answer.
AI:</t>
  </si>
  <si>
    <t xml:space="preserve"> The switch that opens the door is either Switch 1 or Switch 2. Since it's not Switch 3 or Switch 2, we can conclude the correct switch is Switch 1.</t>
  </si>
  <si>
    <t>25c2</t>
  </si>
  <si>
    <t>25c3</t>
  </si>
  <si>
    <t xml:space="preserve"> The switch that opens the door is Switch 1.</t>
  </si>
  <si>
    <t>26z1</t>
  </si>
  <si>
    <t>User: Solve this puzzle: Three books â€” A, B, and C â€” are stacked on a shelf. Clues: Book A is not on the top. Book C is not on the bottom. Book B is not directly next to C. What is the order from top to bottom?
Do not explain. Just give me the answer.
AI:</t>
  </si>
  <si>
    <t>26z2</t>
  </si>
  <si>
    <t xml:space="preserve"> The order is A, B, C.</t>
  </si>
  <si>
    <t>26z3</t>
  </si>
  <si>
    <t xml:space="preserve"> The order from top to bottom is ABC.</t>
  </si>
  <si>
    <t>26r1</t>
  </si>
  <si>
    <t>User: Solve this puzzle: Scenario:
Three books â€” A, B, and C â€” are stacked on a shelf.
Clues:
1. Clues: Book A is not on the top.
2. Book C is not on the bottom.
3. Book B is not directly next to C.
Question:
What is the order from top to bottom?
Do not explain. Just give me the answer.
AI:</t>
  </si>
  <si>
    <t xml:space="preserve"> ABAC</t>
  </si>
  <si>
    <t>26r2</t>
  </si>
  <si>
    <t xml:space="preserve"> The order from top to bottom is B, A, C.</t>
  </si>
  <si>
    <t>26r3</t>
  </si>
  <si>
    <t xml:space="preserve"> A, B, C</t>
  </si>
  <si>
    <t>26x1</t>
  </si>
  <si>
    <t>User: Solve this puzzle: Scenario: Three books A, B, and C are arranged on a shelf.
Clues:
1. A is not on the top.
2. C is not on the bottom.
3. B is not directly next to C.
Question: What is the order of the books from top to bottom?
Do not explain. Just give me the answer.
AI:</t>
  </si>
  <si>
    <t>26x2</t>
  </si>
  <si>
    <t>User: Solve this puzzle: Scenario: Three books on a shelf.
Clues:
1. Book A is not on the top.
2. Book C is not on the bottom.
3. Book B is not directly next to C.
Question: What is the order of the books from top to bottom?
Do not explain. Just give me the answer.
AI:</t>
  </si>
  <si>
    <t xml:space="preserve"> The order of the books from top to bottom is A, B, C.</t>
  </si>
  <si>
    <t>26x3</t>
  </si>
  <si>
    <t>User: Solve this puzzle: Scenario: Three books are arranged on a shelf.
Clues:
1. Book A is not on the top.
2. Book C is not on the bottom.
3. Book B is not directly next to C.
Question: What is the order of the books from top to bottom?
Do not explain. Just give me the answer.
AI:</t>
  </si>
  <si>
    <t xml:space="preserve"> The order of the books from top to bottom is ABC.</t>
  </si>
  <si>
    <t>26a1</t>
  </si>
  <si>
    <t>User: Solve this puzzle: Three books â€” A, B, and C â€” are stacked on a shelf. Clues: Book A is not on the top. Book C is not on the bottom. Book B is not directly next to C. What is the order from top to bottom?
Use the hint of: In New York, Ubers have replaced ________.
Do not explain. Just give me the answer.
AI:</t>
  </si>
  <si>
    <t xml:space="preserve"> The given order of the books can be arranged as: A, B, C from top to bottom.</t>
  </si>
  <si>
    <t>26a2</t>
  </si>
  <si>
    <t xml:space="preserve"> The given puzzle is about three books and their positions, while the second clue refers to a completely unrelated situation in New York. We can only provide the answer to the first puzzle: The order from top to bottom is A, B, C.</t>
  </si>
  <si>
    <t>26a3</t>
  </si>
  <si>
    <t xml:space="preserve"> The order of the books is A, B, C from top to bottom. The given clue about Uber does not relate to the book arrangement but refers to the shift in transportation options in New York City.</t>
  </si>
  <si>
    <t>26b1</t>
  </si>
  <si>
    <t>User: Solve this puzzle: Three books â€” A, B, and C â€” are stacked on a shelf. Clues: Book A is not on the top. Book C is not on the bottom. Book B is not directly next to C. What is the order from top to bottom?
Use the hint of: A is not last or on the bottom.
Do not explain. Just give me the answer.
AI:</t>
  </si>
  <si>
    <t xml:space="preserve"> The order from top to bottom is A, B, C.</t>
  </si>
  <si>
    <t>26b2</t>
  </si>
  <si>
    <t>26b3</t>
  </si>
  <si>
    <t>26c1</t>
  </si>
  <si>
    <t>User: Solve this puzzle: Three books â€” A, B, and C â€” are stacked on a shelf. Clues: Book A is not on the top. Book C is not on the bottom. Book B is not directly next to C. What is the order from top to bottom?
Use the hint of: B is not first.
Do not explain. Just give me the answer.
AI:</t>
  </si>
  <si>
    <t>26c2</t>
  </si>
  <si>
    <t>26c3</t>
  </si>
  <si>
    <t>27z1</t>
  </si>
  <si>
    <t>User: Solve this puzzle: Three animals â€” Cat, Dog, and Bird â€” live in three houses: Red, Green, and Blue. The houses are arranged in a straight line from left to right in the order: Red House â†’ Green House â†’ Blue House. Clues: The Cat does not live in the Red House. The Dog lives next to the Cat. The Bird does not live in the Green House. The Cat lives between the Dog and the Bird. Where does the Cat live?
Do not explain. Just give me the answer.
AI:</t>
  </si>
  <si>
    <t xml:space="preserve"> The Cat lives in the Green House.</t>
  </si>
  <si>
    <t>27z2</t>
  </si>
  <si>
    <t xml:space="preserve"> The Cat lives in the Blue House.</t>
  </si>
  <si>
    <t>27z3</t>
  </si>
  <si>
    <t>27r1</t>
  </si>
  <si>
    <t>User: Solve this puzzle: Scenario:
Three animals â€” Cat, Dog, and Bird â€” live in three houses: Red, Green, and Blue.
Clues:
1. The houses are arranged in a straight line from left to right in the order: Red House â†’ Green House â†’ Blue House.
2. Clues: The Cat does not live in the Red House.
3. The Dog lives next to the Cat.
4. The Bird does not live in the Green House.
5. The Cat lives between the Dog and the Bird.
Question:
Where does the Cat live?
Do not explain. Just give me the answer.
AI:</t>
  </si>
  <si>
    <t>27r2</t>
  </si>
  <si>
    <t>27r3</t>
  </si>
  <si>
    <t>27x1</t>
  </si>
  <si>
    <t>User: Solve this puzzle: Scenario: Three animals (Cat, Dog, and Bird) live in three houses (Red, Green, and Blue) in a row.
Clues:
1. The Cat is not in the Red House.
2. The Dog lives next to the Cat.
3. The Bird is not in the Green House.
4. The Cat lives between the Dog and the Bird.
Question: Where does the Cat live?
Do not explain. Just give me the answer.
AI:</t>
  </si>
  <si>
    <t xml:space="preserve"> The Cat lives between the Dog and the Bird, which means it's in neither the Red nor Green Houses since it's not in the Red House and not in the Green House. Therefore, it must be in the Blue House where Dog and Bird are not present.</t>
  </si>
  <si>
    <t>27x2</t>
  </si>
  <si>
    <t>User: Solve this puzzle: Scenario: Three animals (Cat, Dog, and Bird) live in three houses (Red, Green, and Blue) which are arranged in a straight line from left to right.
Clues:
1. The Cat does not live in the Red House.
2. The Dog lives next to the Cat.
3. The Bird does not live in the Green House.
4. The Cat lives between the Dog and the Bird.
Question: Where does the Cat live?
Do not explain. Just give me the answer.
AI:</t>
  </si>
  <si>
    <t>27x3</t>
  </si>
  <si>
    <t>User: Solve this puzzle: Scenario:
Three animals live in three houses. Houses are in a row from left to right: Red House, Green House, and Blue House.
Clues:
1. The Cat is not in the Red House.
2. The Dog lives next to the Cat.
3. The Bird is not in the Green House.
4. The Cat is between the Dog and the Bird.
Question:
Where does the Cat live?
Do not explain. Just give me the answer.
AI:</t>
  </si>
  <si>
    <t>27a1</t>
  </si>
  <si>
    <t>User: Solve this puzzle: Three animals â€” Cat, Dog, and Bird â€” live in three houses: Red, Green, and Blue. The houses are arranged in a straight line from left to right in the order: Red House â†’ Green House â†’ Blue House. Clues: The Cat does not live in the Red House. The Dog lives next to the Cat. The Bird does not live in the Green House. The Cat lives between the Dog and the Bird. Where does the Cat live?
Use the hint of: Cats hide the grass to hunt smaller prey.  They normally like to live in areas that resemble the grass.
Do not explain. Just give me the answer.
AI:</t>
  </si>
  <si>
    <t>27a2</t>
  </si>
  <si>
    <t xml:space="preserve"> Cat lives in the Blue House.</t>
  </si>
  <si>
    <t>27a3</t>
  </si>
  <si>
    <t>27b1</t>
  </si>
  <si>
    <t>User: Solve this puzzle: Three animals â€” Cat, Dog, and Bird â€” live in three houses: Red, Green, and Blue. The houses are arranged in a straight line from left to right in the order: Red House â†’ Green House â†’ Blue House. Clues: The Cat does not live in the Red House. The Dog lives next to the Cat. The Bird does not live in the Green House. The Cat lives between the Dog and the Bird. Where does the Cat live?
Use the hint of: The Cat does not live in the Blue House.
Do not explain. Just give me the answer.
AI:</t>
  </si>
  <si>
    <t xml:space="preserve"> Cat lives in the Green House.</t>
  </si>
  <si>
    <t>27b2</t>
  </si>
  <si>
    <t>27b3</t>
  </si>
  <si>
    <t>27c1</t>
  </si>
  <si>
    <t>User: Solve this puzzle: Three animals â€” Cat, Dog, and Bird â€” live in three houses: Red, Green, and Blue. The houses are arranged in a straight line from left to right in the order: Red House â†’ Green House â†’ Blue House. Clues: The Cat does not live in the Red House. The Dog lives next to the Cat. The Bird does not live in the Green House. The Cat lives between the Dog and the Bird. Where does the Cat live?
Use the hint of: The Bird does not live in the Red House.
Do not explain. Just give me the answer.
AI:</t>
  </si>
  <si>
    <t>27c2</t>
  </si>
  <si>
    <t>27c3</t>
  </si>
  <si>
    <t>28z1</t>
  </si>
  <si>
    <t>User: Solve this puzzle: A hexagonal room has six statues placed evenly around the perimeter. They are labeled 1 through 6 in clockwise order, starting from the top (statue 1 is at the â€œNorthâ€ position). A note gives clues: Statue 4 is directly opposite Statue 1. The hidden lever is two positions clockwise from Statue 6. Statue 3 is directly to the left of Statue 2 (based on facing inward). Which statue has the hidden lever?
Do not explain. Just give me the answer.
AI:</t>
  </si>
  <si>
    <t xml:space="preserve"> Statue 5 has the hidden lever.</t>
  </si>
  <si>
    <t>28z2</t>
  </si>
  <si>
    <t xml:space="preserve"> Hidden lever is at Statue 5.</t>
  </si>
  <si>
    <t>28z3</t>
  </si>
  <si>
    <t>28r1</t>
  </si>
  <si>
    <t>User: Solve this puzzle: Scenario:
A hexagonal room has six statues placed evenly around the perimeter.
Clues:
1. They are labeled 1 through 6 in clockwise order, starting from the top (statue 1 is at the â€œNorthâ€ position).
2. A note gives clues: Statue 4 is directly opposite Statue 1.
3. The hidden lever is two positions clockwise from Statue 6.
4. Statue 3 is directly to the left of Statue 2 (based on facing inward).
Question:
Which statue has the hidden lever?
Do not explain. Just give me the answer.
AI:</t>
  </si>
  <si>
    <t>28r2</t>
  </si>
  <si>
    <t xml:space="preserve"> The hidden lever is at statue 5.</t>
  </si>
  <si>
    <t>28r3</t>
  </si>
  <si>
    <t>28x1</t>
  </si>
  <si>
    <t>28x2</t>
  </si>
  <si>
    <t xml:space="preserve"> The hidden lever is at Statue 5.</t>
  </si>
  <si>
    <t>28x3</t>
  </si>
  <si>
    <t>28a1</t>
  </si>
  <si>
    <t>28a2</t>
  </si>
  <si>
    <t xml:space="preserve"> The hidden lever is associated with Statue 5.</t>
  </si>
  <si>
    <t>28a3</t>
  </si>
  <si>
    <t>28b1</t>
  </si>
  <si>
    <t>28b2</t>
  </si>
  <si>
    <t>28b3</t>
  </si>
  <si>
    <t>28c1</t>
  </si>
  <si>
    <t>28c2</t>
  </si>
  <si>
    <t xml:space="preserve"> Statue 5</t>
  </si>
  <si>
    <t>28c3</t>
  </si>
  <si>
    <t>29z1</t>
  </si>
  <si>
    <t>User: Solve this puzzle: Solve this riddle: â€œI am the door that always opens but never closes. I point you forward but move you back. I am seen before arrival and after departure.â€ Which door am I? Options: A. Exit Door B. Glass Door C. Labra Door D. Submarine Door
Do not explain. Just give me the answer.
AI:</t>
  </si>
  <si>
    <t xml:space="preserve"> C. Labra Door</t>
  </si>
  <si>
    <t>29z2</t>
  </si>
  <si>
    <t xml:space="preserve"> A. Exit Door</t>
  </si>
  <si>
    <t>29z3</t>
  </si>
  <si>
    <t>29r1</t>
  </si>
  <si>
    <t>User: Solve this puzzle: Scenario:
Solve this riddle: â€œI am the door that always opens but never closes.
Clues:
1. I point you forward but move you back.
2. Options: A.
3. Exit Door B.
4. Glass Door C.
5. Labra Door D.
6. Submarine Door
Question:
I am seen before arrival and after departure.â€ Which door am I?
Do not explain. Just give me the answer.
AI:</t>
  </si>
  <si>
    <t xml:space="preserve"> Labra Door D.</t>
  </si>
  <si>
    <t>29r2</t>
  </si>
  <si>
    <t>29r3</t>
  </si>
  <si>
    <t xml:space="preserve"> You are Exit Door B.</t>
  </si>
  <si>
    <t>29x1</t>
  </si>
  <si>
    <t>29x2</t>
  </si>
  <si>
    <t>29x3</t>
  </si>
  <si>
    <t>29a1</t>
  </si>
  <si>
    <t>29a2</t>
  </si>
  <si>
    <t>29a3</t>
  </si>
  <si>
    <t>29b1</t>
  </si>
  <si>
    <t>29b2</t>
  </si>
  <si>
    <t>29b3</t>
  </si>
  <si>
    <t>29c1</t>
  </si>
  <si>
    <t>29c2</t>
  </si>
  <si>
    <t>29c3</t>
  </si>
  <si>
    <t>30z1</t>
  </si>
  <si>
    <t>User: Solve this puzzle: You are given three keys labeled 5, 10, and 15. Only one key opens the lock. A note reads: â€œThe correct key is divisible by 5.â€ â€œThe correct key is not the smallest number.â€ â€œThe correct key is not the largest number.â€ Which key opens the lock?
Do not explain. Just give me the answer.
AI:</t>
  </si>
  <si>
    <t xml:space="preserve"> Key 10 opens the lock. It is divisible by 5 (10/5 = 2), it is not the smallest number among the given keys (10 &gt; 5 and 10 &gt; 15), and it is not the largest number (10 &lt; 15).</t>
  </si>
  <si>
    <t>30z2</t>
  </si>
  <si>
    <t xml:space="preserve"> The key 10 opens the lock as it is divisible by 5, greater than the smallest number (5), but smaller than the largest number (15).</t>
  </si>
  <si>
    <t>30z3</t>
  </si>
  <si>
    <t xml:space="preserve"> The key 15 opens the lock.</t>
  </si>
  <si>
    <t>30r1</t>
  </si>
  <si>
    <t>User: Solve this puzzle: Scenario:
You are given three keys labeled 5, 10, and 15.
Clues:
1. Only one key opens the lock.
Question:
A note reads: â€œThe correct key is divisible by 5.â€ â€œThe correct key is not the smallest number.â€ â€œThe correct key is not the largest number.â€ Which key opens the lock?
Do not explain. Just give me the answer.
AI:</t>
  </si>
  <si>
    <t xml:space="preserve"> The correct key is 10, as it is divisible by 5, larger than 5 but smaller than 15, and not the smallest or largest numbers from given choices (5, 10, and 15).</t>
  </si>
  <si>
    <t>30r2</t>
  </si>
  <si>
    <t xml:space="preserve"> The correct key is the number 10. It is divisible by 5, not the smallest (5), and not the largest (15).</t>
  </si>
  <si>
    <t>30r3</t>
  </si>
  <si>
    <t>30x1</t>
  </si>
  <si>
    <t>User: Solve this puzzle: Scenario:
There are three keys with labels 5, 10, and 15. One of them can open a lock.
Clues:
1. The correct key is divisible by 5.
2. The correct key is not the smallest number.
3. The correct key is not the largest number.
Question:
Which key can open the lock?
Do not explain. Just give me the answer.
AI:</t>
  </si>
  <si>
    <t>30x2</t>
  </si>
  <si>
    <t>30x3</t>
  </si>
  <si>
    <t xml:space="preserve"> The correct key is 10.</t>
  </si>
  <si>
    <t>30a1</t>
  </si>
  <si>
    <t>User: Solve this puzzle: You are given three keys labeled 5, 10, and 15. Only one key opens the lock. A note reads: â€œThe correct key is divisible by 5.â€ â€œThe correct key is not the smallest number.â€ â€œThe correct key is not the largest number.â€ Which key opens the lock?
Use the hint of: The correct key is not divisible by three.
Do not explain. Just give me the answer.
AI:</t>
  </si>
  <si>
    <t xml:space="preserve"> The key 15 opens the lock as it is divisible by 5 (also divisible by 3), but not the smallest or largest among the given keys.</t>
  </si>
  <si>
    <t>30a2</t>
  </si>
  <si>
    <t>30a3</t>
  </si>
  <si>
    <t xml:space="preserve"> Key 10 opens the lock.</t>
  </si>
  <si>
    <t>30b1</t>
  </si>
  <si>
    <t>User: Solve this puzzle: You are given three keys labeled 5, 10, and 15. Only one key opens the lock. A note reads: â€œThe correct key is divisible by 5.â€ â€œThe correct key is not the smallest number.â€ â€œThe correct key is not the largest number.â€ Which key opens the lock?
Use the hint of: The correct key is average.
Do not explain. Just give me the answer.
AI:</t>
  </si>
  <si>
    <t xml:space="preserve"> The correct key is 12.5 (the average of 5, 10, and 15) as it is divisible by 5, not the smallest nor the largest number.</t>
  </si>
  <si>
    <t>30b2</t>
  </si>
  <si>
    <t xml:space="preserve"> 12.5 opens the lock (average of 5, 10, and 15)</t>
  </si>
  <si>
    <t>30b3</t>
  </si>
  <si>
    <t xml:space="preserve"> The key that opens the lock is 12.5. It is the average of 5, 10, and 15 and it is divisible by 5.</t>
  </si>
  <si>
    <t>30c1</t>
  </si>
  <si>
    <t>User: Solve this puzzle: You are given three keys labeled 5, 10, and 15. Only one key opens the lock. A note reads: â€œThe correct key is divisible by 5.â€ â€œThe correct key is not the smallest number.â€ â€œThe correct key is not the largest number.â€ Which key opens the lock?
Use the hint of: The answer isn't 5.
Do not explain. Just give me the answer.
AI:</t>
  </si>
  <si>
    <t>30c2</t>
  </si>
  <si>
    <t>30c3</t>
  </si>
  <si>
    <t xml:space="preserve"> The hidden lever is on Statue 5.</t>
  </si>
  <si>
    <t>User: Solve this puzzle: Scenario:
There is a hexagonal room with six statues arranged around its perimeter. The statues are labeled 1 through 6 in clockwise order starting from the top. There is a note that provides some clues.
Clues:
1. Statue 4 is directly opposite Statue 1.
2. The hidden lever is two positions clockwise from Statue 6.
3. Statue 3 is directly to the left of Statue 2 (based on facing inward).
Question:
Which statue has the hidden lever?
Do not explain. Just give me the answer.
AI:</t>
  </si>
  <si>
    <t>User: Solve this puzzle: Scenario:
There is a hexagonal room with six statues arranged around its perimeter. The statues are labeled 1 through 6 in clockwise order, starting from the top. There is a note that provides some clues about the statues' positions.
Clues:
1. Statue 4 is directly opposite Statue 1.
2. The hidden lever is two positions clockwise from Statue 6.
3. Statue 3 is directly to the left of Statue 2 (based on facing inward).
Question:
Which statue has the hidden lever?
Do not explain. Just give me the answer.
AI:</t>
  </si>
  <si>
    <t>User: Solve this puzzle: Scenario:
There is a hexagonal room with six statues arranged around its perimeter. The statues are numbered 1 to 6 in clockwise order starting from the top (north position). There is a note that provides some clues about the statues' positions.
Clues:
1. Statue 4 is directly opposite Statue 1.
2. The hidden lever is two positions clockwise from Statue 6.
3. Statue 3 is directly to the left of Statue 2 (based on facing inward).
Question:
Which statue has the hidden lever?
Do not explain. Just give me the answer.
AI:</t>
  </si>
  <si>
    <t>User: Solve this puzzle: A hexagonal room has six statues placed evenly around the perimeter. They are labeled 1 through 6 in clockwise order, starting from the top (statue 1 is at the â€œNorthâ€ position). A note gives clues: Statue 4 is directly opposite Statue 1. The hidden lever is two positions clockwise from Statue 6. Statue 3 is directly to the left of Statue 2 (based on facing inward). Which statue has the hidden lever?
Use the hint of: Ignore extra clues
Do not explain. Just give me the answer.
AI:</t>
  </si>
  <si>
    <t>User: Solve this puzzle: A hexagonal room has six statues placed evenly around the perimeter. They are labeled 1 through 6 in clockwise order, starting from the top (statue 1 is at the â€œNorthâ€ position). A note gives clues: Statue 4 is directly opposite Statue 1. The hidden lever is two positions clockwise from Statue 6. Statue 3 is directly to the left of Statue 2 (based on facing inward). Which statue has the hidden lever?
Use the hint of: Go left twice from statue 6
Do not explain. Just give me the answer.
AI:</t>
  </si>
  <si>
    <t xml:space="preserve"> The hidden lever is at statue 7 (the position would be two steps clockwise from statue 6).</t>
  </si>
  <si>
    <t>User: Solve this puzzle: A hexagonal room has six statues placed evenly around the perimeter. They are labeled 1 through 6 in clockwise order, starting from the top (statue 1 is at the â€œNorthâ€ position). A note gives clues: Statue 4 is directly opposite Statue 1. The hidden lever is two positions clockwise from Statue 6. Statue 3 is directly to the left of Statue 2 (based on facing inward). Which statue has the hidden lever?
Use the hint of: What's clockwise of statue 6? then what's clockwise of that statue? That's the answer.
Do not explain. Just give me the answer.
AI:</t>
  </si>
  <si>
    <t xml:space="preserve"> The answer is Statue 7.</t>
  </si>
  <si>
    <t xml:space="preserve"> D. Submarine Door</t>
  </si>
  <si>
    <t xml:space="preserve"> The answer is Exit Door B.</t>
  </si>
  <si>
    <t>User: Solve this puzzle: Scenario:
Riddle about a door with specific characteristics.
Clues:
1. The door always opens but never closes.
2. It points you in a certain direction.
3. You see it before reaching your destination.
4. You see it again after leaving your destination.
Question:
Which of the given doors matches the description?
Do not explain. Just give me the answer.
AI:</t>
  </si>
  <si>
    <t xml:space="preserve"> The door of an entrance leading to a path or route that only has a single way in and out, and the path keeps on going in a specific direction.</t>
  </si>
  <si>
    <t>User: Solve this puzzle: Scenario: There is a riddle about a door with specific characteristics.
Clues: 1. The door has these properties: always opens, never closes, points forward, moves you back, seen before arrival, seen after departure.
2. The options given are A. Exit Door, B. Glass Door, C. Labra Door, D. Submarine Door.
Question: Which of the given doors matches the description in the riddle?
Do not explain. Just give me the answer.
AI:</t>
  </si>
  <si>
    <t>User: Solve this puzzle: Scenario:
Riddle about a door with specific characteristics.
Clues:
1. The door always opens but never closes.
2. It points you in a certain direction.
3. You see it before reaching your destination.
4. You also see it after leaving your destination.
Question:
Which of the given doors matches the description?
Do not explain. Just give me the answer.
AI:</t>
  </si>
  <si>
    <t xml:space="preserve"> Door of a one-way street.</t>
  </si>
  <si>
    <t>User: Solve this puzzle: Solve this riddle: â€œI am the door that always opens but never closes. I point you forward but move you back. I am seen before arrival and after departure.â€ Which door am I? Options: A. Exit Door B. Glass Door C. Labra Door D. Submarine Door
Use the hint of: "Seen when leaving" is the strongest clue
Do not explain. Just give me the answer.
AI:</t>
  </si>
  <si>
    <t>User: Solve this puzzle: Solve this riddle: â€œI am the door that always opens but never closes. I point you forward but move you back. I am seen before arrival and after departure.â€ Which door am I? Options: A. Exit Door B. Glass Door C. Labra Door D. Submarine Door
Use the hint of: Think of a sign before you leave
Do not explain. Just give me the answer.
AI:</t>
  </si>
  <si>
    <t>User: Solve this puzzle: Solve this riddle: â€œI am the door that always opens but never closes. I point you forward but move you back. I am seen before arrival and after departure.â€ Which door am I? Options: A. Exit Door B. Glass Door C. Labra Door D. Submarine Door
Use the hint of: Compare 2 answer at a time, get rid of the one that's less likely.
Do not explain. Just give me the answer.
AI:</t>
  </si>
  <si>
    <t xml:space="preserve"> Compare A. Exit Door with B. Glass Door, A. Exit Door with C. Labra Door, A. Exit Door with D. Submarine Door. After comparing, the least likely options are B. Glass Door and C. Labra Door as they do not correspond with the riddle. The remaining option is A. Exit Door. This implies that the mentioned door in the riddle is an Exit Door.</t>
  </si>
  <si>
    <t xml:space="preserve"> A. Exit Door vs D. Submarine Door
A. Exit Door vs B. Glass Door
A. Exit Door vs C. Labra Door
D. Submarine Door vs B. Glass Door
D. Submarine Door vs C. Labra Door
The final options are A. Exit Door and D. Submarine Door.</t>
  </si>
  <si>
    <t>Condition</t>
  </si>
  <si>
    <t>z</t>
  </si>
  <si>
    <t>r</t>
  </si>
  <si>
    <t>x</t>
  </si>
  <si>
    <t>h1</t>
  </si>
  <si>
    <t>h2</t>
  </si>
  <si>
    <t>h3</t>
  </si>
  <si>
    <t>Hint Category</t>
  </si>
  <si>
    <t>Hint Helpfulness</t>
  </si>
  <si>
    <t>-2U</t>
  </si>
  <si>
    <t>u</t>
  </si>
  <si>
    <t>g</t>
  </si>
  <si>
    <t>m</t>
  </si>
  <si>
    <t>cg</t>
  </si>
  <si>
    <t>There are 3 dolls on the table, red, yellow, green, each with a key inside of it. Only one key is the correct key. There is a note that said "Blue + Yellow". Where is the correct key?</t>
  </si>
  <si>
    <t>Green doll</t>
  </si>
  <si>
    <t>Pacific, North Carolina, and Pennsylvania have this in common.</t>
  </si>
  <si>
    <t>This doll has modern day currency.</t>
  </si>
  <si>
    <t>Mix the colors</t>
  </si>
  <si>
    <t>-1U</t>
  </si>
  <si>
    <t>2G</t>
  </si>
  <si>
    <t>There are 3 dolls on the table, red, purple, green, each with a key inside of it. Only one key is the correct key. There is a note that said "Blue + Yellow". Where is the correct key?</t>
  </si>
  <si>
    <t>If you can see in night vision, you can see this doll.</t>
  </si>
  <si>
    <t>This is a plants favorite color.</t>
  </si>
  <si>
    <t>-2M</t>
  </si>
  <si>
    <t>1CG</t>
  </si>
  <si>
    <t>You are in a hallway with 3 doors, number 1, 2 and 4. A sign on the wall says: "The correct exit is quite odd". Which is the correct door?</t>
  </si>
  <si>
    <t>Door 1</t>
  </si>
  <si>
    <t>The red numberblock lives here.</t>
  </si>
  <si>
    <t>This is the "trueest" place to live.</t>
  </si>
  <si>
    <t>You definately live alone.</t>
  </si>
  <si>
    <t>-1V</t>
  </si>
  <si>
    <t>0V</t>
  </si>
  <si>
    <t>There is one ceiling light and 3 switches: A, B, and C. You are told that only one switch works, and it is NOT switch B. The working switch is next to switch A. Which switch turns on the light?</t>
  </si>
  <si>
    <t>Switch C</t>
  </si>
  <si>
    <t>This light produces gamma rays.</t>
  </si>
  <si>
    <t>This switch requires dioxide to help plants.</t>
  </si>
  <si>
    <t>This switch should be used 0011 times.</t>
  </si>
  <si>
    <t>On a counter sit three cups labeled Tea, Juice, and Ice water. You are told that the key is taped under the cup that should feel the warmest to the touch. Where is the key?</t>
  </si>
  <si>
    <t>Tea cup</t>
  </si>
  <si>
    <t>The English always make time for this during discussions.</t>
  </si>
  <si>
    <t>Blakc, Earl, and Grey.</t>
  </si>
  <si>
    <t>Not coffee.</t>
  </si>
  <si>
    <t>0E</t>
  </si>
  <si>
    <t>You see three boxes on a table: red, blue, and brown. A note says "Prize is not in a primary color box", where is the prize?</t>
  </si>
  <si>
    <t>Brown box</t>
  </si>
  <si>
    <t>Not on the rainbow, but always on the ground.</t>
  </si>
  <si>
    <t>Almost Black</t>
  </si>
  <si>
    <t>The power rangers missed this ranger.</t>
  </si>
  <si>
    <t>There are three doors: A, B and C. A sign reads: "The alarm is connected to exactly one door. Door A is safe. Door B is NOT safe." Which door can you safely use to exit without triggering an alarm?</t>
  </si>
  <si>
    <t>Door A</t>
  </si>
  <si>
    <t>You don't like Carrots.</t>
  </si>
  <si>
    <t>Einstein's inspiration starts here.</t>
  </si>
  <si>
    <t>Always the first choice.</t>
  </si>
  <si>
    <t>1P</t>
  </si>
  <si>
    <t>There are three lamps: red, yellow, and green. A note says: "only the lamp that means go will turn on when you press it". Which lamp should you press?</t>
  </si>
  <si>
    <t>Green lamp</t>
  </si>
  <si>
    <t>A lady name Chloro Phyll loves this lamp.</t>
  </si>
  <si>
    <t>This lamp does not urge you to stop what you are doing.</t>
  </si>
  <si>
    <t>This lamp does not make you want to slow down.</t>
  </si>
  <si>
    <t>1U</t>
  </si>
  <si>
    <t>Three safes are labeled 7, 9 and 3. A note says: "The password is in the safe with the highest number." Which safe should you open?</t>
  </si>
  <si>
    <t>Safe 9</t>
  </si>
  <si>
    <t>Who did seven eat?</t>
  </si>
  <si>
    <t>This right safe is squared away.</t>
  </si>
  <si>
    <t>This number divicded by three is three.</t>
  </si>
  <si>
    <t>2S</t>
  </si>
  <si>
    <t>Four people lining up to leave the room: Alex, Bella, Chris, and Dana. Alex is first in line. Dana is last in line. Bella is in front of Chris. What is the order from first to last?</t>
  </si>
  <si>
    <t>Alex, Bella, Chris, Dana</t>
  </si>
  <si>
    <t>What did they tell you at the begining?</t>
  </si>
  <si>
    <t>A smart person would say that if Bella is in front of Chris, the rest after Dana is Easy.</t>
  </si>
  <si>
    <t>What about the alphabet?</t>
  </si>
  <si>
    <t>1V</t>
  </si>
  <si>
    <t>1S</t>
  </si>
  <si>
    <t>You have three keys: Small, Medium, and Large. You need to hang them on the hooks from left to right. The medium key is between the other two. The large key is on the left. What is the order from left to right?</t>
  </si>
  <si>
    <t>Large, Medium, Small</t>
  </si>
  <si>
    <t>Laughing Moderately is Satisfying</t>
  </si>
  <si>
    <t>Mcdonalds sizes always displays the small selection last, because people like to eat large orders of fries.</t>
  </si>
  <si>
    <t>At least it's in order.</t>
  </si>
  <si>
    <t>There is a wall shelf with 3 levels: top, middle, and bottom. A note says: "The key is directly below the plant and the book." Looking at the shelf, you see: A plant on the top level, A book on the middle level. On which shelf level is the key?</t>
  </si>
  <si>
    <t>Bottom shelf</t>
  </si>
  <si>
    <t>Always a great place to start.</t>
  </si>
  <si>
    <t>Not the top shelf.</t>
  </si>
  <si>
    <t>Not the middle shelf.</t>
  </si>
  <si>
    <t>-1M</t>
  </si>
  <si>
    <t>1E</t>
  </si>
  <si>
    <t>2E</t>
  </si>
  <si>
    <t>There is a square table in the center of the room with one chair on each side: north, east, south, and west. Alice is sitting on west side, facing east. Bob is sitting on the east side, facing west. The exit door is in front of Bob. Which of the wall contains the exit door?</t>
  </si>
  <si>
    <t>West wall</t>
  </si>
  <si>
    <t>Where the sun sets.</t>
  </si>
  <si>
    <t>Not where the sun rises.</t>
  </si>
  <si>
    <t>Not North or South</t>
  </si>
  <si>
    <t>2CG</t>
  </si>
  <si>
    <t>You are in a rectangular room. On the north wall, there is a painting. On the east wall, there is a window. On the south wall, there is a bookshelf. On the west wall, there is a door.Initially, you are standing in the center of the room, facing the painting (so you are facing north).Suddenly, the entire room rotates 90 degrees clockwise around its center, including all walls and objects inside it, but you do not rotate with it. You stay in the same physical orientation relative to the building (you are still facing the same absolute direction in the world).After the rotation:Which object is now directly in front of you?</t>
  </si>
  <si>
    <t>Door</t>
  </si>
  <si>
    <t>You can go through it.</t>
  </si>
  <si>
    <t>Not a Window.</t>
  </si>
  <si>
    <t>No books are in front of you.</t>
  </si>
  <si>
    <t>You are in a small room. On the floor in front of you are three boxes in a straight line: red, blue, and green. From your point of view, the red box is on the left, the blue box is in the middle, and the green box is on the right. You walk around to the other side of the line of boxes and face them again from the opposite direction. From this new position, which box is now on your left?</t>
  </si>
  <si>
    <t>Green box</t>
  </si>
  <si>
    <t>Sailors associate this color with leaving.</t>
  </si>
  <si>
    <t>This box color make syou want to start moving forward.</t>
  </si>
  <si>
    <t>The box looks like a plant from this persepctive.</t>
  </si>
  <si>
    <t>You have to complete four tasks: Find Key, Unlock Door, Read Note, and Press Button. Clues: You must find the key before you can unlock the door. You must unlock the door before you can read the note. You must read the note before you press the button. You cannot skip any step. What is the correct order of tasks?</t>
  </si>
  <si>
    <t>Find key, Unlock door, Read note, Press button</t>
  </si>
  <si>
    <t>Pressing the Button is your last step.</t>
  </si>
  <si>
    <t>Friends always Urge friends to Read religious Passages.</t>
  </si>
  <si>
    <t>Finding the key is definately not your last step.</t>
  </si>
  <si>
    <t>You have to complete four tasks: Find Key, Press Button, Unlock Door, and Read Note. Clues: You must find the key before you can unlock the door. You must unlock the door before you can read the note. You must read the note before you press the button. You cannot skip any step. What is the correct order of tasks?</t>
  </si>
  <si>
    <t>Furry animal Use the River to share Pizza.</t>
  </si>
  <si>
    <t>Reading the note is not last.</t>
  </si>
  <si>
    <t>Unlocking the door is not first.</t>
  </si>
  <si>
    <t>There are three switches: A, B, and C that must be flipped in a specific order to open a trapdoor. Clues: Switch C must be flipped before switch B. Switch A must be flipped before switch B. Switch C is not the first switch. What is the order in which the switches must be flipped?</t>
  </si>
  <si>
    <t>A, C, B</t>
  </si>
  <si>
    <t>The way to figure out the switch order. (0001) Reread the instructions, (0011) Write down the numbers one, two and three in one column, and (0010) Write down the letters in the correct order.</t>
  </si>
  <si>
    <t>C is not last.</t>
  </si>
  <si>
    <t>A is first.</t>
  </si>
  <si>
    <t>You must enter four codes into a panel in the correct order. The codes are: Red, Blue, Green, and Yellow. Clues: Red is entered before both Green and Yellow. Blue is not entered first. Yellow is entered after Green. Blue is entered immediately before Yellow. What is the correct order of codes?</t>
  </si>
  <si>
    <t>Red, Green Blue, Yellow</t>
  </si>
  <si>
    <t>Green is entered before blue and yellow.</t>
  </si>
  <si>
    <t>Blue is not entered last.</t>
  </si>
  <si>
    <t>Red is entered first.</t>
  </si>
  <si>
    <t>Four people Anna, Ben, Cara, and Drew sit on a bench with spots numbered from 1 to 4 from left to right. No two people can share a seat. Clues: Anna sits somewhere to the left of Ben. Cara does not sit on an end seat. Drew sits immediately to the right of Cara. Ben does not sit in seat 2. Anna does not sit in seat 3. From left to right, what is the seating order?</t>
  </si>
  <si>
    <t>Anna, Cara, Drew, Ben</t>
  </si>
  <si>
    <t>Animals Care about the Dens and Babies.</t>
  </si>
  <si>
    <t>Ben is not first.</t>
  </si>
  <si>
    <t>Cara sits next to Anna.</t>
  </si>
  <si>
    <t>1G</t>
  </si>
  <si>
    <t>Three treasure chests sit on a table: Bronze, Silver, and Gold. Only one contains the real treasure. A note reads: “The treasure is not in the heaviest chest.” “The Silver chest is lighter than the Bronze chest.” “The Gold chest is neither the heaviest nor the lightest.” Question: Which chest cannot contain the treasure?</t>
  </si>
  <si>
    <t>Bronze chest</t>
  </si>
  <si>
    <t>If there are only three spots, which chest MUST be inthe middle spot?</t>
  </si>
  <si>
    <t>Which chest must be the lightest chest?</t>
  </si>
  <si>
    <t>The Silver chest is not the second heaviest chest.</t>
  </si>
  <si>
    <t>Four people — Ava, Ben, Cara, and Devin — are waiting in a line. Clues: Ava is somewhere in front of Ben. Devin is not first. Cara is directly behind Ava. Who is standing in front of Devin?</t>
  </si>
  <si>
    <t>Cara</t>
  </si>
  <si>
    <t>Use the "directly behind" clue first</t>
  </si>
  <si>
    <t>Start with Ben and go from there.</t>
  </si>
  <si>
    <t>Ava is first.</t>
  </si>
  <si>
    <t>You are viewing a square table from above. Four people sit on the sides labeled North, East, South, and West. Assume standard map orientation: North is up, East is right, South is down, West is left. A key is hidden under the chair of the person who is sitting to the left of West, from your top-down perspective. Who has the key?</t>
  </si>
  <si>
    <t>South</t>
  </si>
  <si>
    <t>Within the Continental US, Texas would have the key.</t>
  </si>
  <si>
    <t>Its not East</t>
  </si>
  <si>
    <t>Its not North.</t>
  </si>
  <si>
    <t>A locked box can only be opened with one of three colored keys: Red, Green, or Purple. A note provides clues: “The correct key is neither the lightest nor the darkest color.” “Red is darker than Green.” “Purple is darker than Red.” Which key opens the box?</t>
  </si>
  <si>
    <t>Red</t>
  </si>
  <si>
    <t>Find the middleground color.</t>
  </si>
  <si>
    <t>It's not Green.</t>
  </si>
  <si>
    <t>It's not Purple.</t>
  </si>
  <si>
    <t>You find three switches labeled 1, 2, and 3. Only one opens the final door. A message reads: “Switch 1 works only if Switch 3 does not.” “Exactly one switch is functional.” “Switch 2 is not the correct one.” Which switch opens the door?</t>
  </si>
  <si>
    <t>Switch 1</t>
  </si>
  <si>
    <t>Switch 3 does not work.</t>
  </si>
  <si>
    <t>The statement about Switch 2 is accurate.</t>
  </si>
  <si>
    <t>Its' not Switch 3.</t>
  </si>
  <si>
    <t>Three books — A, B, and C — are stacked on a shelf. Clues: Book A is not on the top. Book C is not on the bottom. Book B is not directly next to C. What is the order from top to bottom?</t>
  </si>
  <si>
    <t>C, A, B</t>
  </si>
  <si>
    <t>In New York, Ubers have replaced ________.</t>
  </si>
  <si>
    <t>A is not last or on the bottom.</t>
  </si>
  <si>
    <t>B is not first.</t>
  </si>
  <si>
    <t>Three animals — Cat, Dog, and Bird — live in three houses: Red, Green, and Blue. The houses are arranged in a straight line from left to right in the order: Red House → Green House → Blue House. Clues: The Cat does not live in the Red House. The Dog lives next to the Cat. The Bird does not live in the Green House. The Cat lives between the Dog and the Bird. Where does the Cat live?</t>
  </si>
  <si>
    <t>Green</t>
  </si>
  <si>
    <t>Cats hide the grass to hunt smaller prey. They normally like to live in areas that resemble the grass.</t>
  </si>
  <si>
    <t>The Cat does not live in the Blue House.</t>
  </si>
  <si>
    <t>The Bird does not live in the Red House.</t>
  </si>
  <si>
    <t>A hexagonal room has six statues placed evenly around the perimeter. They are labeled 1 through 6 in clockwise order, starting from the top (statue 1 is at the “North” position). A note gives clues: Statue 4 is directly opposite Statue 1. The hidden lever is two positions clockwise from Statue 6. Statue 3 is directly to the left of Statue 2 (based on facing inward). Which statue has the hidden lever?</t>
  </si>
  <si>
    <t>Statue 2</t>
  </si>
  <si>
    <t>Ignore extra clues</t>
  </si>
  <si>
    <t>Go left twice from statue 6</t>
  </si>
  <si>
    <t>What's clockwise of statue 6? then what's clockwise of that statue? That's the answer.</t>
  </si>
  <si>
    <t>Solve this riddle: “I am the door that always opens but never closes. I point you forward but move you back. I am seen before arrival and after departure.” Which door am I? Options: A. Exit Door B. Glass Door C. Labra Door D. Submarine Door</t>
  </si>
  <si>
    <t>Exit door</t>
  </si>
  <si>
    <t>"Seen when leaving" is the strongest clue</t>
  </si>
  <si>
    <t>Think of a sign before you leave</t>
  </si>
  <si>
    <t>Compare 2 answer at a time, get rid of the one that's less likely.</t>
  </si>
  <si>
    <t>You are given three keys labeled 5, 10, and 15. Only one key opens the lock. A note reads: “The correct key is divisible by 5.” “The correct key is not the smallest number.” “The correct key is not the largest number.” Which key opens the lock?</t>
  </si>
  <si>
    <t>The correct key is not divisible by three.</t>
  </si>
  <si>
    <t>The correct key is average.</t>
  </si>
  <si>
    <t>The answer isn't 5.</t>
  </si>
  <si>
    <t>PuzzleText</t>
  </si>
  <si>
    <t>Answer</t>
  </si>
  <si>
    <t>Hint#1</t>
  </si>
  <si>
    <t>Hint#2</t>
  </si>
  <si>
    <t>Hint#3</t>
  </si>
  <si>
    <t>Example:</t>
  </si>
  <si>
    <t>Try mixing the colors!</t>
  </si>
  <si>
    <t>Try mixing the note’s colors; the result matches one of the doll colors.</t>
  </si>
  <si>
    <t>Color blue and color yellow combined to form a color for plants!</t>
  </si>
  <si>
    <t>v</t>
  </si>
  <si>
    <t>e</t>
  </si>
  <si>
    <t>p</t>
  </si>
  <si>
    <t>s</t>
  </si>
  <si>
    <t>t</t>
  </si>
  <si>
    <t>f</t>
  </si>
  <si>
    <t>Correctness</t>
  </si>
  <si>
    <t>CorrectDiff</t>
  </si>
  <si>
    <t>User: Solve this puzzle: Four people â€” Ava, Ben, Cara, and Devin â€” are waiting in a line. Clues: Ava is somewhere in front of Ben. Devin is not first. Cara is directly behind Ava. Ben is last. Who is standing in front of Devin?
Do not explain. Just give me the answer.
AI:</t>
  </si>
  <si>
    <t xml:space="preserve"> Ben</t>
  </si>
  <si>
    <t>User: Solve this puzzle: Scenario:
Four people â€” Ava, Ben, Cara, and Devin â€” are waiting in a line.
Clues:
1. Clues: Ava is somewhere in front of Ben.
2. Devin is not first.
3. Cara is directly behind Ava.
4. Ben is last.
Question:
Who is standing in front of Devin?
Do not explain. Just give me the answer.
AI:</t>
  </si>
  <si>
    <t>User: Solve this puzzle: Scenario: Four people in a line - Ava, Ben, Cara, and Devin.
Clues:
1. Ava is in front of Ben.
2. Devin is not first.
3. Cara is behind Ava.
4. Ben is last.
Question: Who is standing in front of Devin?
Do not explain. Just give me the answer.
AI:</t>
  </si>
  <si>
    <t>User: Solve this puzzle: Scenario: Four people in a line - Ava, Ben, Cara, and Devin.
Clues:
1. Ava is in front of Ben.
2. Devin is not first.
3. Cara is behind Ava.
4. Ben is the last one.
Question: Who is standing in front of Devin?
Do not explain. Just give me the answer.
AI:</t>
  </si>
  <si>
    <t>User: Solve this puzzle: Four people â€” Ava, Ben, Cara, and Devin â€” are waiting in a line. Clues: Ava is somewhere in front of Ben. Devin is not first. Cara is directly behind Ava. Ben is last. Who is standing in front of Devin?
Use the hint of: Use the "directly behind" clue first
Do not explain. Just give me the answer.
AI:</t>
  </si>
  <si>
    <t xml:space="preserve"> Ava is directly behind Ava</t>
  </si>
  <si>
    <t xml:space="preserve"> Cara is directly behind Ava, who is somewhere in front of Ben. Since Devin is not first, he will be ahead of Ben. Therefore, Devin is in front of the person who is behind Ava (Cara), which means Cara is standing in front of Devin.</t>
  </si>
  <si>
    <t>User: Solve this puzzle: Four people â€” Ava, Ben, Cara, and Devin â€” are waiting in a line. Clues: Ava is somewhere in front of Ben. Devin is not first. Cara is directly behind Ava. Ben is last. Who is standing in front of Devin?
Use the hint of: Start with Ben and go from there. 
Do not explain. Just give me the answer.
AI:</t>
  </si>
  <si>
    <t xml:space="preserve"> Ava and Cara</t>
  </si>
  <si>
    <t>User: Solve this puzzle: Four people â€” Ava, Ben, Cara, and Devin â€” are waiting in a line. Clues: Ava is somewhere in front of Ben. Devin is not first. Cara is directly behind Ava. Ben is last. Who is standing in front of Devin?
Use the hint of: Ava is first.
Do not explain. Just give me the answer.
AI:</t>
  </si>
  <si>
    <t xml:space="preserve"> Devin is behind Ava, so Ava is standing in front of Devin.</t>
  </si>
  <si>
    <t>G -Grounded structural</t>
  </si>
  <si>
    <t>U - Ungrounded conceptual</t>
  </si>
  <si>
    <t>S -Step-leaking</t>
  </si>
  <si>
    <t>V - Meta / vague</t>
  </si>
  <si>
    <t>M - Misleading / distractor</t>
  </si>
  <si>
    <t>E - Elimination</t>
  </si>
  <si>
    <t>CG = Conceptual Grounded</t>
  </si>
  <si>
    <t>P - Positional</t>
  </si>
  <si>
    <t>Delta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</si>
</sst>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font>
    <font>
      <sz val="11"/>
      <color theme="1"/>
      <name val="Calibri"/>
      <family val="2"/>
    </font>
    <font>
      <sz val="18"/>
      <color theme="3"/>
      <name val="Aptos Display"/>
      <family val="2"/>
      <scheme val="major"/>
    </font>
    <font>
      <b/>
      <sz val="15"/>
      <color theme="3"/>
      <name val="Calibri"/>
      <family val="2"/>
    </font>
    <font>
      <b/>
      <sz val="13"/>
      <color theme="3"/>
      <name val="Calibri"/>
      <family val="2"/>
    </font>
    <font>
      <b/>
      <sz val="11"/>
      <color theme="3"/>
      <name val="Calibri"/>
      <family val="2"/>
    </font>
    <font>
      <sz val="11"/>
      <color rgb="FF006100"/>
      <name val="Calibri"/>
      <family val="2"/>
    </font>
    <font>
      <sz val="11"/>
      <color rgb="FF9C0006"/>
      <name val="Calibri"/>
      <family val="2"/>
    </font>
    <font>
      <sz val="11"/>
      <color rgb="FF9C5700"/>
      <name val="Calibri"/>
      <family val="2"/>
    </font>
    <font>
      <sz val="11"/>
      <color rgb="FF3F3F76"/>
      <name val="Calibri"/>
      <family val="2"/>
    </font>
    <font>
      <b/>
      <sz val="11"/>
      <color rgb="FF3F3F3F"/>
      <name val="Calibri"/>
      <family val="2"/>
    </font>
    <font>
      <b/>
      <sz val="11"/>
      <color rgb="FFFA7D00"/>
      <name val="Calibri"/>
      <family val="2"/>
    </font>
    <font>
      <sz val="11"/>
      <color rgb="FFFA7D00"/>
      <name val="Calibri"/>
      <family val="2"/>
    </font>
    <font>
      <b/>
      <sz val="11"/>
      <color theme="0"/>
      <name val="Calibri"/>
      <family val="2"/>
    </font>
    <font>
      <sz val="11"/>
      <color rgb="FFFF0000"/>
      <name val="Calibri"/>
      <family val="2"/>
    </font>
    <font>
      <i/>
      <sz val="11"/>
      <color rgb="FF7F7F7F"/>
      <name val="Calibri"/>
      <family val="2"/>
    </font>
    <font>
      <b/>
      <sz val="11"/>
      <color theme="1"/>
      <name val="Calibri"/>
      <family val="2"/>
    </font>
    <font>
      <sz val="11"/>
      <color theme="0"/>
      <name val="Calibri"/>
      <family val="2"/>
    </font>
    <font>
      <sz val="10"/>
      <color theme="1"/>
      <name val="Arial"/>
      <family val="2"/>
    </font>
  </fonts>
  <fills count="39">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4CCCC"/>
        <bgColor indexed="64"/>
      </patternFill>
    </fill>
    <fill>
      <patternFill patternType="solid">
        <fgColor rgb="FFFFF2CC"/>
        <bgColor indexed="64"/>
      </patternFill>
    </fill>
    <fill>
      <patternFill patternType="solid">
        <fgColor theme="7" tint="0.79998168889431442"/>
        <bgColor indexed="64"/>
      </patternFill>
    </fill>
    <fill>
      <patternFill patternType="solid">
        <fgColor theme="5" tint="0.79998168889431442"/>
        <bgColor indexed="64"/>
      </patternFill>
    </fill>
    <fill>
      <patternFill patternType="solid">
        <fgColor theme="6" tint="0.79998168889431442"/>
        <bgColor indexed="64"/>
      </patternFill>
    </fill>
    <fill>
      <patternFill patternType="solid">
        <fgColor theme="8" tint="0.79998168889431442"/>
        <bgColor indexed="64"/>
      </patternFill>
    </fill>
  </fills>
  <borders count="27">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rgb="FFCCCCCC"/>
      </left>
      <right style="medium">
        <color rgb="FFCCCCCC"/>
      </right>
      <top style="medium">
        <color rgb="FFCCCCCC"/>
      </top>
      <bottom style="medium">
        <color rgb="FFCCCCCC"/>
      </bottom>
      <diagonal/>
    </border>
    <border>
      <left style="medium">
        <color rgb="FFCCCCCC"/>
      </left>
      <right style="medium">
        <color rgb="FF000000"/>
      </right>
      <top style="medium">
        <color rgb="FFCCCCCC"/>
      </top>
      <bottom style="medium">
        <color rgb="FFCCCCCC"/>
      </bottom>
      <diagonal/>
    </border>
    <border>
      <left/>
      <right/>
      <top/>
      <bottom style="thin">
        <color indexed="64"/>
      </bottom>
      <diagonal/>
    </border>
    <border>
      <left/>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style="mediumDashed">
        <color auto="1"/>
      </right>
      <top/>
      <bottom/>
      <diagonal/>
    </border>
    <border>
      <left/>
      <right style="mediumDashed">
        <color auto="1"/>
      </right>
      <top/>
      <bottom style="thin">
        <color indexed="64"/>
      </bottom>
      <diagonal/>
    </border>
    <border>
      <left/>
      <right style="mediumDashed">
        <color auto="1"/>
      </right>
      <top style="thin">
        <color indexed="64"/>
      </top>
      <bottom/>
      <diagonal/>
    </border>
    <border>
      <left style="mediumDashed">
        <color auto="1"/>
      </left>
      <right/>
      <top/>
      <bottom style="thin">
        <color indexed="64"/>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9">
    <xf numFmtId="0" fontId="0" fillId="0" borderId="0" xfId="0"/>
    <xf numFmtId="0" fontId="18" fillId="0" borderId="10" xfId="0" applyFont="1" applyBorder="1"/>
    <xf numFmtId="0" fontId="18" fillId="0" borderId="11" xfId="0" applyFont="1" applyBorder="1"/>
    <xf numFmtId="0" fontId="18" fillId="33" borderId="10" xfId="0" applyFont="1" applyFill="1" applyBorder="1"/>
    <xf numFmtId="0" fontId="18" fillId="33" borderId="11" xfId="0" applyFont="1" applyFill="1" applyBorder="1"/>
    <xf numFmtId="0" fontId="18" fillId="34" borderId="10" xfId="0" applyFont="1" applyFill="1" applyBorder="1"/>
    <xf numFmtId="0" fontId="18" fillId="34" borderId="11" xfId="0" applyFont="1" applyFill="1" applyBorder="1"/>
    <xf numFmtId="0" fontId="18" fillId="0" borderId="10" xfId="0" applyFont="1" applyBorder="1" applyAlignment="1">
      <alignment horizontal="right"/>
    </xf>
    <xf numFmtId="0" fontId="18" fillId="0" borderId="10" xfId="0" applyFont="1" applyBorder="1" applyAlignment="1">
      <alignment vertical="center"/>
    </xf>
    <xf numFmtId="0" fontId="0" fillId="0" borderId="12" xfId="0" applyBorder="1"/>
    <xf numFmtId="0" fontId="0" fillId="0" borderId="13" xfId="0" applyBorder="1"/>
    <xf numFmtId="0" fontId="0" fillId="0" borderId="15" xfId="0" applyBorder="1"/>
    <xf numFmtId="0" fontId="0" fillId="0" borderId="14" xfId="0" applyBorder="1"/>
    <xf numFmtId="0" fontId="0" fillId="0" borderId="16" xfId="0" applyBorder="1"/>
    <xf numFmtId="0" fontId="0" fillId="0" borderId="18" xfId="0" applyBorder="1"/>
    <xf numFmtId="0" fontId="0" fillId="0" borderId="17" xfId="0" applyBorder="1"/>
    <xf numFmtId="0" fontId="0" fillId="0" borderId="19" xfId="0" applyBorder="1"/>
    <xf numFmtId="0" fontId="0" fillId="0" borderId="12" xfId="0" applyBorder="1" applyAlignment="1">
      <alignment horizontal="center"/>
    </xf>
    <xf numFmtId="0" fontId="0" fillId="0" borderId="0" xfId="0" applyAlignment="1">
      <alignment horizontal="center"/>
    </xf>
    <xf numFmtId="0" fontId="0" fillId="0" borderId="13" xfId="0" applyBorder="1" applyAlignment="1">
      <alignment horizontal="center"/>
    </xf>
    <xf numFmtId="0" fontId="0" fillId="0" borderId="12" xfId="0" applyBorder="1" applyAlignment="1">
      <alignment horizontal="center" vertical="center"/>
    </xf>
    <xf numFmtId="0" fontId="0" fillId="0" borderId="0" xfId="0" applyAlignment="1">
      <alignment horizontal="center" vertical="center"/>
    </xf>
    <xf numFmtId="0" fontId="18" fillId="0" borderId="0" xfId="0" applyFont="1" applyAlignment="1">
      <alignment horizontal="center" vertical="center"/>
    </xf>
    <xf numFmtId="0" fontId="18" fillId="0" borderId="12" xfId="0" applyFont="1" applyBorder="1" applyAlignment="1">
      <alignment horizontal="center" vertical="center"/>
    </xf>
    <xf numFmtId="0" fontId="18" fillId="0" borderId="13" xfId="0" applyFont="1" applyBorder="1" applyAlignment="1">
      <alignment horizontal="center" vertical="center"/>
    </xf>
    <xf numFmtId="0" fontId="0" fillId="36" borderId="0" xfId="0" applyFill="1" applyAlignment="1">
      <alignment horizontal="center"/>
    </xf>
    <xf numFmtId="0" fontId="0" fillId="37" borderId="0" xfId="0" applyFill="1" applyAlignment="1">
      <alignment horizontal="center"/>
    </xf>
    <xf numFmtId="0" fontId="0" fillId="38" borderId="0" xfId="0" applyFill="1" applyAlignment="1">
      <alignment horizontal="center"/>
    </xf>
    <xf numFmtId="0" fontId="0" fillId="38" borderId="12" xfId="0" applyFill="1" applyBorder="1" applyAlignment="1">
      <alignment horizontal="center"/>
    </xf>
    <xf numFmtId="0" fontId="0" fillId="35" borderId="0" xfId="0" applyFill="1" applyAlignment="1">
      <alignment horizontal="center"/>
    </xf>
    <xf numFmtId="0" fontId="0" fillId="35" borderId="12" xfId="0" applyFill="1" applyBorder="1" applyAlignment="1">
      <alignment horizontal="center"/>
    </xf>
    <xf numFmtId="0" fontId="0" fillId="35" borderId="13" xfId="0" applyFill="1" applyBorder="1" applyAlignment="1">
      <alignment horizontal="center"/>
    </xf>
    <xf numFmtId="0" fontId="0" fillId="0" borderId="15" xfId="0" applyBorder="1" applyAlignment="1">
      <alignment horizontal="center" vertical="center"/>
    </xf>
    <xf numFmtId="0" fontId="0" fillId="0" borderId="14" xfId="0" applyBorder="1" applyAlignment="1">
      <alignment horizontal="center" vertical="center"/>
    </xf>
    <xf numFmtId="0" fontId="0" fillId="0" borderId="16" xfId="0" applyBorder="1" applyAlignment="1">
      <alignment horizontal="center" vertical="center"/>
    </xf>
    <xf numFmtId="0" fontId="0" fillId="0" borderId="21" xfId="0" applyBorder="1" applyAlignment="1">
      <alignment horizontal="center" vertical="center"/>
    </xf>
    <xf numFmtId="0" fontId="0" fillId="0" borderId="20" xfId="0" applyBorder="1" applyAlignment="1">
      <alignment horizontal="center" vertical="center"/>
    </xf>
    <xf numFmtId="0" fontId="0" fillId="0" borderId="22" xfId="0" applyBorder="1" applyAlignment="1">
      <alignment horizontal="center" vertical="center"/>
    </xf>
    <xf numFmtId="0" fontId="0" fillId="0" borderId="12" xfId="0" applyBorder="1" applyAlignment="1">
      <alignment horizontal="left"/>
    </xf>
    <xf numFmtId="0" fontId="0" fillId="0" borderId="0" xfId="0" applyAlignment="1">
      <alignment horizontal="left"/>
    </xf>
    <xf numFmtId="0" fontId="0" fillId="0" borderId="13" xfId="0" applyBorder="1" applyAlignment="1">
      <alignment horizontal="left"/>
    </xf>
    <xf numFmtId="0" fontId="0" fillId="0" borderId="15" xfId="0" applyBorder="1" applyAlignment="1">
      <alignment horizontal="center"/>
    </xf>
    <xf numFmtId="0" fontId="0" fillId="0" borderId="14" xfId="0" applyBorder="1" applyAlignment="1">
      <alignment horizontal="center"/>
    </xf>
    <xf numFmtId="0" fontId="0" fillId="0" borderId="16" xfId="0" applyBorder="1" applyAlignment="1">
      <alignment horizontal="center"/>
    </xf>
    <xf numFmtId="0" fontId="0" fillId="0" borderId="17" xfId="0" applyBorder="1" applyAlignment="1">
      <alignment horizontal="center"/>
    </xf>
    <xf numFmtId="0" fontId="0" fillId="0" borderId="18" xfId="0" applyBorder="1" applyAlignment="1">
      <alignment horizontal="center"/>
    </xf>
    <xf numFmtId="0" fontId="0" fillId="0" borderId="19" xfId="0" applyBorder="1" applyAlignment="1">
      <alignment horizontal="center"/>
    </xf>
    <xf numFmtId="0" fontId="0" fillId="0" borderId="0" xfId="0" applyAlignment="1">
      <alignment horizontal="right" vertical="center"/>
    </xf>
    <xf numFmtId="0" fontId="16" fillId="0" borderId="0" xfId="0" applyFont="1"/>
    <xf numFmtId="0" fontId="0" fillId="0" borderId="23" xfId="0" applyBorder="1"/>
    <xf numFmtId="0" fontId="7" fillId="3" borderId="0" xfId="7" applyAlignment="1">
      <alignment horizontal="center" vertical="center"/>
    </xf>
    <xf numFmtId="0" fontId="8" fillId="4" borderId="0" xfId="8" applyAlignment="1">
      <alignment horizontal="center" vertical="center"/>
    </xf>
    <xf numFmtId="0" fontId="6" fillId="2" borderId="0" xfId="6" applyAlignment="1">
      <alignment horizontal="center" vertical="center"/>
    </xf>
    <xf numFmtId="0" fontId="7" fillId="3" borderId="16" xfId="7" applyBorder="1" applyAlignment="1">
      <alignment horizontal="center" vertical="center"/>
    </xf>
    <xf numFmtId="0" fontId="7" fillId="3" borderId="13" xfId="7" applyBorder="1" applyAlignment="1">
      <alignment horizontal="center" vertical="center"/>
    </xf>
    <xf numFmtId="0" fontId="8" fillId="4" borderId="13" xfId="8" applyBorder="1" applyAlignment="1">
      <alignment horizontal="center" vertical="center"/>
    </xf>
    <xf numFmtId="0" fontId="6" fillId="2" borderId="13" xfId="6" applyBorder="1" applyAlignment="1">
      <alignment horizontal="center" vertical="center"/>
    </xf>
    <xf numFmtId="0" fontId="6" fillId="2" borderId="24" xfId="6" applyBorder="1" applyAlignment="1">
      <alignment horizontal="center" vertical="center"/>
    </xf>
    <xf numFmtId="0" fontId="7" fillId="3" borderId="14" xfId="7" applyBorder="1" applyAlignment="1">
      <alignment horizontal="center" vertical="center"/>
    </xf>
    <xf numFmtId="0" fontId="7" fillId="3" borderId="0" xfId="7" applyBorder="1" applyAlignment="1">
      <alignment horizontal="center" vertical="center"/>
    </xf>
    <xf numFmtId="0" fontId="8" fillId="4" borderId="0" xfId="8" applyBorder="1" applyAlignment="1">
      <alignment horizontal="center" vertical="center"/>
    </xf>
    <xf numFmtId="0" fontId="6" fillId="2" borderId="0" xfId="6" applyBorder="1" applyAlignment="1">
      <alignment horizontal="center" vertical="center"/>
    </xf>
    <xf numFmtId="0" fontId="6" fillId="2" borderId="25" xfId="6" applyBorder="1" applyAlignment="1">
      <alignment horizontal="center" vertical="center"/>
    </xf>
    <xf numFmtId="0" fontId="7" fillId="3" borderId="15" xfId="7" applyBorder="1" applyAlignment="1">
      <alignment horizontal="center" vertical="center"/>
    </xf>
    <xf numFmtId="0" fontId="7" fillId="3" borderId="12" xfId="7" applyBorder="1" applyAlignment="1">
      <alignment horizontal="center" vertical="center"/>
    </xf>
    <xf numFmtId="0" fontId="8" fillId="4" borderId="12" xfId="8" applyBorder="1" applyAlignment="1">
      <alignment horizontal="center" vertical="center"/>
    </xf>
    <xf numFmtId="0" fontId="6" fillId="2" borderId="12" xfId="6" applyBorder="1" applyAlignment="1">
      <alignment horizontal="center" vertical="center"/>
    </xf>
    <xf numFmtId="0" fontId="6" fillId="2" borderId="26" xfId="6" applyBorder="1" applyAlignment="1">
      <alignment horizontal="center" vertical="center"/>
    </xf>
    <xf numFmtId="0" fontId="0" fillId="0" borderId="0" xfId="0" applyAlignment="1">
      <alignment horizontal="lef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
    <dxf>
      <fill>
        <patternFill>
          <bgColor theme="9"/>
        </patternFill>
      </fill>
    </dxf>
    <dxf>
      <font>
        <color theme="0"/>
      </font>
      <fill>
        <patternFill>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Effects</a:t>
            </a:r>
            <a:r>
              <a:rPr lang="en-US" baseline="0"/>
              <a:t> of Hints by Helpfulness Rating</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dataset3!$M$542</c:f>
              <c:strCache>
                <c:ptCount val="1"/>
                <c:pt idx="0">
                  <c:v>-3</c:v>
                </c:pt>
              </c:strCache>
            </c:strRef>
          </c:tx>
          <c:spPr>
            <a:solidFill>
              <a:schemeClr val="accent1">
                <a:shade val="47000"/>
              </a:schemeClr>
            </a:solidFill>
            <a:ln>
              <a:noFill/>
            </a:ln>
            <a:effectLst/>
            <a:sp3d/>
          </c:spPr>
          <c:invertIfNegative val="0"/>
          <c:cat>
            <c:numRef>
              <c:f>dataset3!$J$546:$J$550</c:f>
              <c:numCache>
                <c:formatCode>General</c:formatCode>
                <c:ptCount val="5"/>
                <c:pt idx="0">
                  <c:v>-2</c:v>
                </c:pt>
                <c:pt idx="1">
                  <c:v>-1</c:v>
                </c:pt>
                <c:pt idx="2">
                  <c:v>0</c:v>
                </c:pt>
                <c:pt idx="3">
                  <c:v>1</c:v>
                </c:pt>
                <c:pt idx="4">
                  <c:v>2</c:v>
                </c:pt>
              </c:numCache>
            </c:numRef>
          </c:cat>
          <c:val>
            <c:numRef>
              <c:f>dataset3!$M$546:$M$550</c:f>
              <c:numCache>
                <c:formatCode>General</c:formatCode>
                <c:ptCount val="5"/>
                <c:pt idx="0">
                  <c:v>0</c:v>
                </c:pt>
                <c:pt idx="1">
                  <c:v>0</c:v>
                </c:pt>
                <c:pt idx="2">
                  <c:v>0</c:v>
                </c:pt>
                <c:pt idx="3">
                  <c:v>0</c:v>
                </c:pt>
                <c:pt idx="4">
                  <c:v>0</c:v>
                </c:pt>
              </c:numCache>
            </c:numRef>
          </c:val>
          <c:extLst>
            <c:ext xmlns:c16="http://schemas.microsoft.com/office/drawing/2014/chart" uri="{C3380CC4-5D6E-409C-BE32-E72D297353CC}">
              <c16:uniqueId val="{00000000-8822-458D-AD7D-B681DF300530}"/>
            </c:ext>
          </c:extLst>
        </c:ser>
        <c:ser>
          <c:idx val="1"/>
          <c:order val="1"/>
          <c:tx>
            <c:strRef>
              <c:f>dataset3!$N$542</c:f>
              <c:strCache>
                <c:ptCount val="1"/>
                <c:pt idx="0">
                  <c:v>-2</c:v>
                </c:pt>
              </c:strCache>
            </c:strRef>
          </c:tx>
          <c:spPr>
            <a:solidFill>
              <a:srgbClr val="FF0000"/>
            </a:solidFill>
            <a:ln>
              <a:noFill/>
            </a:ln>
            <a:effectLst/>
            <a:sp3d/>
          </c:spPr>
          <c:invertIfNegative val="0"/>
          <c:cat>
            <c:numRef>
              <c:f>dataset3!$J$546:$J$550</c:f>
              <c:numCache>
                <c:formatCode>General</c:formatCode>
                <c:ptCount val="5"/>
                <c:pt idx="0">
                  <c:v>-2</c:v>
                </c:pt>
                <c:pt idx="1">
                  <c:v>-1</c:v>
                </c:pt>
                <c:pt idx="2">
                  <c:v>0</c:v>
                </c:pt>
                <c:pt idx="3">
                  <c:v>1</c:v>
                </c:pt>
                <c:pt idx="4">
                  <c:v>2</c:v>
                </c:pt>
              </c:numCache>
            </c:numRef>
          </c:cat>
          <c:val>
            <c:numRef>
              <c:f>dataset3!$N$546:$N$550</c:f>
              <c:numCache>
                <c:formatCode>General</c:formatCode>
                <c:ptCount val="5"/>
                <c:pt idx="0">
                  <c:v>1</c:v>
                </c:pt>
                <c:pt idx="1">
                  <c:v>0</c:v>
                </c:pt>
                <c:pt idx="2">
                  <c:v>0</c:v>
                </c:pt>
                <c:pt idx="3">
                  <c:v>1</c:v>
                </c:pt>
                <c:pt idx="4">
                  <c:v>1</c:v>
                </c:pt>
              </c:numCache>
            </c:numRef>
          </c:val>
          <c:extLst>
            <c:ext xmlns:c16="http://schemas.microsoft.com/office/drawing/2014/chart" uri="{C3380CC4-5D6E-409C-BE32-E72D297353CC}">
              <c16:uniqueId val="{00000001-8822-458D-AD7D-B681DF300530}"/>
            </c:ext>
          </c:extLst>
        </c:ser>
        <c:ser>
          <c:idx val="2"/>
          <c:order val="2"/>
          <c:tx>
            <c:strRef>
              <c:f>dataset3!$O$542</c:f>
              <c:strCache>
                <c:ptCount val="1"/>
                <c:pt idx="0">
                  <c:v>-1</c:v>
                </c:pt>
              </c:strCache>
            </c:strRef>
          </c:tx>
          <c:spPr>
            <a:solidFill>
              <a:srgbClr val="FFC000"/>
            </a:solidFill>
            <a:ln>
              <a:noFill/>
            </a:ln>
            <a:effectLst/>
            <a:sp3d/>
          </c:spPr>
          <c:invertIfNegative val="0"/>
          <c:cat>
            <c:numRef>
              <c:f>dataset3!$J$546:$J$550</c:f>
              <c:numCache>
                <c:formatCode>General</c:formatCode>
                <c:ptCount val="5"/>
                <c:pt idx="0">
                  <c:v>-2</c:v>
                </c:pt>
                <c:pt idx="1">
                  <c:v>-1</c:v>
                </c:pt>
                <c:pt idx="2">
                  <c:v>0</c:v>
                </c:pt>
                <c:pt idx="3">
                  <c:v>1</c:v>
                </c:pt>
                <c:pt idx="4">
                  <c:v>2</c:v>
                </c:pt>
              </c:numCache>
            </c:numRef>
          </c:cat>
          <c:val>
            <c:numRef>
              <c:f>dataset3!$O$546:$O$550</c:f>
              <c:numCache>
                <c:formatCode>General</c:formatCode>
                <c:ptCount val="5"/>
                <c:pt idx="0">
                  <c:v>0</c:v>
                </c:pt>
                <c:pt idx="1">
                  <c:v>3</c:v>
                </c:pt>
                <c:pt idx="2">
                  <c:v>0</c:v>
                </c:pt>
                <c:pt idx="3">
                  <c:v>3</c:v>
                </c:pt>
                <c:pt idx="4">
                  <c:v>2</c:v>
                </c:pt>
              </c:numCache>
            </c:numRef>
          </c:val>
          <c:extLst>
            <c:ext xmlns:c16="http://schemas.microsoft.com/office/drawing/2014/chart" uri="{C3380CC4-5D6E-409C-BE32-E72D297353CC}">
              <c16:uniqueId val="{00000002-8822-458D-AD7D-B681DF300530}"/>
            </c:ext>
          </c:extLst>
        </c:ser>
        <c:ser>
          <c:idx val="3"/>
          <c:order val="3"/>
          <c:tx>
            <c:strRef>
              <c:f>dataset3!$P$542</c:f>
              <c:strCache>
                <c:ptCount val="1"/>
                <c:pt idx="0">
                  <c:v>0</c:v>
                </c:pt>
              </c:strCache>
            </c:strRef>
          </c:tx>
          <c:spPr>
            <a:solidFill>
              <a:srgbClr val="FFFF00"/>
            </a:solidFill>
            <a:ln>
              <a:noFill/>
            </a:ln>
            <a:effectLst/>
            <a:sp3d/>
          </c:spPr>
          <c:invertIfNegative val="0"/>
          <c:cat>
            <c:numRef>
              <c:f>dataset3!$J$546:$J$550</c:f>
              <c:numCache>
                <c:formatCode>General</c:formatCode>
                <c:ptCount val="5"/>
                <c:pt idx="0">
                  <c:v>-2</c:v>
                </c:pt>
                <c:pt idx="1">
                  <c:v>-1</c:v>
                </c:pt>
                <c:pt idx="2">
                  <c:v>0</c:v>
                </c:pt>
                <c:pt idx="3">
                  <c:v>1</c:v>
                </c:pt>
                <c:pt idx="4">
                  <c:v>2</c:v>
                </c:pt>
              </c:numCache>
            </c:numRef>
          </c:cat>
          <c:val>
            <c:numRef>
              <c:f>dataset3!$P$546:$P$550</c:f>
              <c:numCache>
                <c:formatCode>General</c:formatCode>
                <c:ptCount val="5"/>
                <c:pt idx="0">
                  <c:v>9</c:v>
                </c:pt>
                <c:pt idx="1">
                  <c:v>3</c:v>
                </c:pt>
                <c:pt idx="2">
                  <c:v>4</c:v>
                </c:pt>
                <c:pt idx="3">
                  <c:v>26</c:v>
                </c:pt>
                <c:pt idx="4">
                  <c:v>13</c:v>
                </c:pt>
              </c:numCache>
            </c:numRef>
          </c:val>
          <c:extLst>
            <c:ext xmlns:c16="http://schemas.microsoft.com/office/drawing/2014/chart" uri="{C3380CC4-5D6E-409C-BE32-E72D297353CC}">
              <c16:uniqueId val="{00000003-8822-458D-AD7D-B681DF300530}"/>
            </c:ext>
          </c:extLst>
        </c:ser>
        <c:ser>
          <c:idx val="4"/>
          <c:order val="4"/>
          <c:tx>
            <c:strRef>
              <c:f>dataset3!$Q$542</c:f>
              <c:strCache>
                <c:ptCount val="1"/>
                <c:pt idx="0">
                  <c:v>1</c:v>
                </c:pt>
              </c:strCache>
            </c:strRef>
          </c:tx>
          <c:spPr>
            <a:solidFill>
              <a:schemeClr val="accent3">
                <a:lumMod val="20000"/>
                <a:lumOff val="80000"/>
              </a:schemeClr>
            </a:solidFill>
            <a:ln>
              <a:noFill/>
            </a:ln>
            <a:effectLst/>
            <a:sp3d/>
          </c:spPr>
          <c:invertIfNegative val="0"/>
          <c:cat>
            <c:numRef>
              <c:f>dataset3!$J$546:$J$550</c:f>
              <c:numCache>
                <c:formatCode>General</c:formatCode>
                <c:ptCount val="5"/>
                <c:pt idx="0">
                  <c:v>-2</c:v>
                </c:pt>
                <c:pt idx="1">
                  <c:v>-1</c:v>
                </c:pt>
                <c:pt idx="2">
                  <c:v>0</c:v>
                </c:pt>
                <c:pt idx="3">
                  <c:v>1</c:v>
                </c:pt>
                <c:pt idx="4">
                  <c:v>2</c:v>
                </c:pt>
              </c:numCache>
            </c:numRef>
          </c:cat>
          <c:val>
            <c:numRef>
              <c:f>dataset3!$Q$546:$Q$550</c:f>
              <c:numCache>
                <c:formatCode>General</c:formatCode>
                <c:ptCount val="5"/>
                <c:pt idx="0">
                  <c:v>1</c:v>
                </c:pt>
                <c:pt idx="1">
                  <c:v>2</c:v>
                </c:pt>
                <c:pt idx="2">
                  <c:v>1</c:v>
                </c:pt>
                <c:pt idx="3">
                  <c:v>7</c:v>
                </c:pt>
                <c:pt idx="4">
                  <c:v>1</c:v>
                </c:pt>
              </c:numCache>
            </c:numRef>
          </c:val>
          <c:extLst>
            <c:ext xmlns:c16="http://schemas.microsoft.com/office/drawing/2014/chart" uri="{C3380CC4-5D6E-409C-BE32-E72D297353CC}">
              <c16:uniqueId val="{00000004-8822-458D-AD7D-B681DF300530}"/>
            </c:ext>
          </c:extLst>
        </c:ser>
        <c:ser>
          <c:idx val="5"/>
          <c:order val="5"/>
          <c:tx>
            <c:strRef>
              <c:f>dataset3!$R$542</c:f>
              <c:strCache>
                <c:ptCount val="1"/>
                <c:pt idx="0">
                  <c:v>2</c:v>
                </c:pt>
              </c:strCache>
            </c:strRef>
          </c:tx>
          <c:spPr>
            <a:solidFill>
              <a:schemeClr val="accent3">
                <a:lumMod val="40000"/>
                <a:lumOff val="60000"/>
              </a:schemeClr>
            </a:solidFill>
            <a:ln>
              <a:noFill/>
            </a:ln>
            <a:effectLst/>
            <a:sp3d/>
          </c:spPr>
          <c:invertIfNegative val="0"/>
          <c:cat>
            <c:numRef>
              <c:f>dataset3!$J$546:$J$550</c:f>
              <c:numCache>
                <c:formatCode>General</c:formatCode>
                <c:ptCount val="5"/>
                <c:pt idx="0">
                  <c:v>-2</c:v>
                </c:pt>
                <c:pt idx="1">
                  <c:v>-1</c:v>
                </c:pt>
                <c:pt idx="2">
                  <c:v>0</c:v>
                </c:pt>
                <c:pt idx="3">
                  <c:v>1</c:v>
                </c:pt>
                <c:pt idx="4">
                  <c:v>2</c:v>
                </c:pt>
              </c:numCache>
            </c:numRef>
          </c:cat>
          <c:val>
            <c:numRef>
              <c:f>dataset3!$R$546:$R$550</c:f>
              <c:numCache>
                <c:formatCode>General</c:formatCode>
                <c:ptCount val="5"/>
                <c:pt idx="0">
                  <c:v>1</c:v>
                </c:pt>
                <c:pt idx="1">
                  <c:v>1</c:v>
                </c:pt>
                <c:pt idx="2">
                  <c:v>0</c:v>
                </c:pt>
                <c:pt idx="3">
                  <c:v>4</c:v>
                </c:pt>
                <c:pt idx="4">
                  <c:v>3</c:v>
                </c:pt>
              </c:numCache>
            </c:numRef>
          </c:val>
          <c:extLst>
            <c:ext xmlns:c16="http://schemas.microsoft.com/office/drawing/2014/chart" uri="{C3380CC4-5D6E-409C-BE32-E72D297353CC}">
              <c16:uniqueId val="{00000005-8822-458D-AD7D-B681DF300530}"/>
            </c:ext>
          </c:extLst>
        </c:ser>
        <c:ser>
          <c:idx val="6"/>
          <c:order val="6"/>
          <c:tx>
            <c:strRef>
              <c:f>dataset3!$S$542</c:f>
              <c:strCache>
                <c:ptCount val="1"/>
                <c:pt idx="0">
                  <c:v>3</c:v>
                </c:pt>
              </c:strCache>
            </c:strRef>
          </c:tx>
          <c:spPr>
            <a:solidFill>
              <a:schemeClr val="accent3">
                <a:lumMod val="60000"/>
                <a:lumOff val="40000"/>
              </a:schemeClr>
            </a:solidFill>
            <a:ln>
              <a:noFill/>
            </a:ln>
            <a:effectLst/>
            <a:sp3d/>
          </c:spPr>
          <c:invertIfNegative val="0"/>
          <c:cat>
            <c:numRef>
              <c:f>dataset3!$J$546:$J$550</c:f>
              <c:numCache>
                <c:formatCode>General</c:formatCode>
                <c:ptCount val="5"/>
                <c:pt idx="0">
                  <c:v>-2</c:v>
                </c:pt>
                <c:pt idx="1">
                  <c:v>-1</c:v>
                </c:pt>
                <c:pt idx="2">
                  <c:v>0</c:v>
                </c:pt>
                <c:pt idx="3">
                  <c:v>1</c:v>
                </c:pt>
                <c:pt idx="4">
                  <c:v>2</c:v>
                </c:pt>
              </c:numCache>
            </c:numRef>
          </c:cat>
          <c:val>
            <c:numRef>
              <c:f>dataset3!$S$546:$S$550</c:f>
              <c:numCache>
                <c:formatCode>General</c:formatCode>
                <c:ptCount val="5"/>
                <c:pt idx="0">
                  <c:v>0</c:v>
                </c:pt>
                <c:pt idx="1">
                  <c:v>0</c:v>
                </c:pt>
                <c:pt idx="2">
                  <c:v>0</c:v>
                </c:pt>
                <c:pt idx="3">
                  <c:v>3</c:v>
                </c:pt>
                <c:pt idx="4">
                  <c:v>0</c:v>
                </c:pt>
              </c:numCache>
            </c:numRef>
          </c:val>
          <c:extLst>
            <c:ext xmlns:c16="http://schemas.microsoft.com/office/drawing/2014/chart" uri="{C3380CC4-5D6E-409C-BE32-E72D297353CC}">
              <c16:uniqueId val="{00000006-8822-458D-AD7D-B681DF300530}"/>
            </c:ext>
          </c:extLst>
        </c:ser>
        <c:dLbls>
          <c:showLegendKey val="0"/>
          <c:showVal val="0"/>
          <c:showCatName val="0"/>
          <c:showSerName val="0"/>
          <c:showPercent val="0"/>
          <c:showBubbleSize val="0"/>
        </c:dLbls>
        <c:gapWidth val="150"/>
        <c:shape val="box"/>
        <c:axId val="73889423"/>
        <c:axId val="73888943"/>
        <c:axId val="0"/>
      </c:bar3DChart>
      <c:catAx>
        <c:axId val="7388942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888943"/>
        <c:crosses val="autoZero"/>
        <c:auto val="1"/>
        <c:lblAlgn val="ctr"/>
        <c:lblOffset val="100"/>
        <c:noMultiLvlLbl val="0"/>
      </c:catAx>
      <c:valAx>
        <c:axId val="738889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88942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Effects</a:t>
            </a:r>
            <a:r>
              <a:rPr lang="en-US" baseline="0"/>
              <a:t> of Hints by Hint Type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dataset3!$M$542</c:f>
              <c:strCache>
                <c:ptCount val="1"/>
                <c:pt idx="0">
                  <c:v>-3</c:v>
                </c:pt>
              </c:strCache>
            </c:strRef>
          </c:tx>
          <c:spPr>
            <a:solidFill>
              <a:schemeClr val="accent1">
                <a:shade val="47000"/>
              </a:schemeClr>
            </a:solidFill>
            <a:ln>
              <a:noFill/>
            </a:ln>
            <a:effectLst/>
            <a:sp3d/>
          </c:spPr>
          <c:invertIfNegative val="0"/>
          <c:cat>
            <c:strRef>
              <c:f>dataset3!$J$551:$J$558</c:f>
              <c:strCache>
                <c:ptCount val="8"/>
                <c:pt idx="0">
                  <c:v>g</c:v>
                </c:pt>
                <c:pt idx="1">
                  <c:v>u</c:v>
                </c:pt>
                <c:pt idx="2">
                  <c:v>s</c:v>
                </c:pt>
                <c:pt idx="3">
                  <c:v>v</c:v>
                </c:pt>
                <c:pt idx="4">
                  <c:v>m</c:v>
                </c:pt>
                <c:pt idx="5">
                  <c:v>e</c:v>
                </c:pt>
                <c:pt idx="6">
                  <c:v>cg</c:v>
                </c:pt>
                <c:pt idx="7">
                  <c:v>p</c:v>
                </c:pt>
              </c:strCache>
            </c:strRef>
          </c:cat>
          <c:val>
            <c:numRef>
              <c:f>dataset3!$M$551:$M$558</c:f>
              <c:numCache>
                <c:formatCode>General</c:formatCode>
                <c:ptCount val="8"/>
                <c:pt idx="0">
                  <c:v>0</c:v>
                </c:pt>
                <c:pt idx="1">
                  <c:v>0</c:v>
                </c:pt>
                <c:pt idx="2">
                  <c:v>0</c:v>
                </c:pt>
                <c:pt idx="3">
                  <c:v>0</c:v>
                </c:pt>
                <c:pt idx="4">
                  <c:v>0</c:v>
                </c:pt>
                <c:pt idx="5">
                  <c:v>0</c:v>
                </c:pt>
                <c:pt idx="6">
                  <c:v>0</c:v>
                </c:pt>
                <c:pt idx="7">
                  <c:v>0</c:v>
                </c:pt>
              </c:numCache>
            </c:numRef>
          </c:val>
          <c:extLst>
            <c:ext xmlns:c16="http://schemas.microsoft.com/office/drawing/2014/chart" uri="{C3380CC4-5D6E-409C-BE32-E72D297353CC}">
              <c16:uniqueId val="{00000000-BAA8-4BEA-940D-2A5C251EACFB}"/>
            </c:ext>
          </c:extLst>
        </c:ser>
        <c:ser>
          <c:idx val="1"/>
          <c:order val="1"/>
          <c:tx>
            <c:strRef>
              <c:f>dataset3!$N$542</c:f>
              <c:strCache>
                <c:ptCount val="1"/>
                <c:pt idx="0">
                  <c:v>-2</c:v>
                </c:pt>
              </c:strCache>
            </c:strRef>
          </c:tx>
          <c:spPr>
            <a:solidFill>
              <a:srgbClr val="FF0000"/>
            </a:solidFill>
            <a:ln>
              <a:noFill/>
            </a:ln>
            <a:effectLst/>
            <a:sp3d/>
          </c:spPr>
          <c:invertIfNegative val="0"/>
          <c:cat>
            <c:strRef>
              <c:f>dataset3!$J$551:$J$558</c:f>
              <c:strCache>
                <c:ptCount val="8"/>
                <c:pt idx="0">
                  <c:v>g</c:v>
                </c:pt>
                <c:pt idx="1">
                  <c:v>u</c:v>
                </c:pt>
                <c:pt idx="2">
                  <c:v>s</c:v>
                </c:pt>
                <c:pt idx="3">
                  <c:v>v</c:v>
                </c:pt>
                <c:pt idx="4">
                  <c:v>m</c:v>
                </c:pt>
                <c:pt idx="5">
                  <c:v>e</c:v>
                </c:pt>
                <c:pt idx="6">
                  <c:v>cg</c:v>
                </c:pt>
                <c:pt idx="7">
                  <c:v>p</c:v>
                </c:pt>
              </c:strCache>
            </c:strRef>
          </c:cat>
          <c:val>
            <c:numRef>
              <c:f>dataset3!$N$551:$N$558</c:f>
              <c:numCache>
                <c:formatCode>General</c:formatCode>
                <c:ptCount val="8"/>
                <c:pt idx="0">
                  <c:v>1</c:v>
                </c:pt>
                <c:pt idx="1">
                  <c:v>1</c:v>
                </c:pt>
                <c:pt idx="2">
                  <c:v>0</c:v>
                </c:pt>
                <c:pt idx="3">
                  <c:v>0</c:v>
                </c:pt>
                <c:pt idx="4">
                  <c:v>0</c:v>
                </c:pt>
                <c:pt idx="5">
                  <c:v>1</c:v>
                </c:pt>
                <c:pt idx="6">
                  <c:v>0</c:v>
                </c:pt>
                <c:pt idx="7">
                  <c:v>0</c:v>
                </c:pt>
              </c:numCache>
            </c:numRef>
          </c:val>
          <c:extLst>
            <c:ext xmlns:c16="http://schemas.microsoft.com/office/drawing/2014/chart" uri="{C3380CC4-5D6E-409C-BE32-E72D297353CC}">
              <c16:uniqueId val="{00000001-BAA8-4BEA-940D-2A5C251EACFB}"/>
            </c:ext>
          </c:extLst>
        </c:ser>
        <c:ser>
          <c:idx val="2"/>
          <c:order val="2"/>
          <c:tx>
            <c:strRef>
              <c:f>dataset3!$O$542</c:f>
              <c:strCache>
                <c:ptCount val="1"/>
                <c:pt idx="0">
                  <c:v>-1</c:v>
                </c:pt>
              </c:strCache>
            </c:strRef>
          </c:tx>
          <c:spPr>
            <a:solidFill>
              <a:srgbClr val="FFC000"/>
            </a:solidFill>
            <a:ln>
              <a:noFill/>
            </a:ln>
            <a:effectLst/>
            <a:sp3d/>
          </c:spPr>
          <c:invertIfNegative val="0"/>
          <c:cat>
            <c:strRef>
              <c:f>dataset3!$J$551:$J$558</c:f>
              <c:strCache>
                <c:ptCount val="8"/>
                <c:pt idx="0">
                  <c:v>g</c:v>
                </c:pt>
                <c:pt idx="1">
                  <c:v>u</c:v>
                </c:pt>
                <c:pt idx="2">
                  <c:v>s</c:v>
                </c:pt>
                <c:pt idx="3">
                  <c:v>v</c:v>
                </c:pt>
                <c:pt idx="4">
                  <c:v>m</c:v>
                </c:pt>
                <c:pt idx="5">
                  <c:v>e</c:v>
                </c:pt>
                <c:pt idx="6">
                  <c:v>cg</c:v>
                </c:pt>
                <c:pt idx="7">
                  <c:v>p</c:v>
                </c:pt>
              </c:strCache>
            </c:strRef>
          </c:cat>
          <c:val>
            <c:numRef>
              <c:f>dataset3!$O$551:$O$558</c:f>
              <c:numCache>
                <c:formatCode>General</c:formatCode>
                <c:ptCount val="8"/>
                <c:pt idx="0">
                  <c:v>0</c:v>
                </c:pt>
                <c:pt idx="1">
                  <c:v>2</c:v>
                </c:pt>
                <c:pt idx="2">
                  <c:v>0</c:v>
                </c:pt>
                <c:pt idx="3">
                  <c:v>0</c:v>
                </c:pt>
                <c:pt idx="4">
                  <c:v>1</c:v>
                </c:pt>
                <c:pt idx="5">
                  <c:v>3</c:v>
                </c:pt>
                <c:pt idx="6">
                  <c:v>2</c:v>
                </c:pt>
                <c:pt idx="7">
                  <c:v>0</c:v>
                </c:pt>
              </c:numCache>
            </c:numRef>
          </c:val>
          <c:extLst>
            <c:ext xmlns:c16="http://schemas.microsoft.com/office/drawing/2014/chart" uri="{C3380CC4-5D6E-409C-BE32-E72D297353CC}">
              <c16:uniqueId val="{00000002-BAA8-4BEA-940D-2A5C251EACFB}"/>
            </c:ext>
          </c:extLst>
        </c:ser>
        <c:ser>
          <c:idx val="3"/>
          <c:order val="3"/>
          <c:tx>
            <c:strRef>
              <c:f>dataset3!$P$542</c:f>
              <c:strCache>
                <c:ptCount val="1"/>
                <c:pt idx="0">
                  <c:v>0</c:v>
                </c:pt>
              </c:strCache>
            </c:strRef>
          </c:tx>
          <c:spPr>
            <a:solidFill>
              <a:srgbClr val="FFFF00"/>
            </a:solidFill>
            <a:ln>
              <a:noFill/>
            </a:ln>
            <a:effectLst/>
            <a:sp3d/>
          </c:spPr>
          <c:invertIfNegative val="0"/>
          <c:cat>
            <c:strRef>
              <c:f>dataset3!$J$551:$J$558</c:f>
              <c:strCache>
                <c:ptCount val="8"/>
                <c:pt idx="0">
                  <c:v>g</c:v>
                </c:pt>
                <c:pt idx="1">
                  <c:v>u</c:v>
                </c:pt>
                <c:pt idx="2">
                  <c:v>s</c:v>
                </c:pt>
                <c:pt idx="3">
                  <c:v>v</c:v>
                </c:pt>
                <c:pt idx="4">
                  <c:v>m</c:v>
                </c:pt>
                <c:pt idx="5">
                  <c:v>e</c:v>
                </c:pt>
                <c:pt idx="6">
                  <c:v>cg</c:v>
                </c:pt>
                <c:pt idx="7">
                  <c:v>p</c:v>
                </c:pt>
              </c:strCache>
            </c:strRef>
          </c:cat>
          <c:val>
            <c:numRef>
              <c:f>dataset3!$P$551:$P$558</c:f>
              <c:numCache>
                <c:formatCode>General</c:formatCode>
                <c:ptCount val="8"/>
                <c:pt idx="0">
                  <c:v>4</c:v>
                </c:pt>
                <c:pt idx="1">
                  <c:v>6</c:v>
                </c:pt>
                <c:pt idx="2">
                  <c:v>10</c:v>
                </c:pt>
                <c:pt idx="3">
                  <c:v>7</c:v>
                </c:pt>
                <c:pt idx="4">
                  <c:v>7</c:v>
                </c:pt>
                <c:pt idx="5">
                  <c:v>17</c:v>
                </c:pt>
                <c:pt idx="6">
                  <c:v>3</c:v>
                </c:pt>
                <c:pt idx="7">
                  <c:v>1</c:v>
                </c:pt>
              </c:numCache>
            </c:numRef>
          </c:val>
          <c:extLst>
            <c:ext xmlns:c16="http://schemas.microsoft.com/office/drawing/2014/chart" uri="{C3380CC4-5D6E-409C-BE32-E72D297353CC}">
              <c16:uniqueId val="{00000003-BAA8-4BEA-940D-2A5C251EACFB}"/>
            </c:ext>
          </c:extLst>
        </c:ser>
        <c:ser>
          <c:idx val="4"/>
          <c:order val="4"/>
          <c:tx>
            <c:strRef>
              <c:f>dataset3!$Q$542</c:f>
              <c:strCache>
                <c:ptCount val="1"/>
                <c:pt idx="0">
                  <c:v>1</c:v>
                </c:pt>
              </c:strCache>
            </c:strRef>
          </c:tx>
          <c:spPr>
            <a:solidFill>
              <a:schemeClr val="accent3">
                <a:lumMod val="20000"/>
                <a:lumOff val="80000"/>
              </a:schemeClr>
            </a:solidFill>
            <a:ln>
              <a:noFill/>
            </a:ln>
            <a:effectLst/>
            <a:sp3d/>
          </c:spPr>
          <c:invertIfNegative val="0"/>
          <c:cat>
            <c:strRef>
              <c:f>dataset3!$J$551:$J$558</c:f>
              <c:strCache>
                <c:ptCount val="8"/>
                <c:pt idx="0">
                  <c:v>g</c:v>
                </c:pt>
                <c:pt idx="1">
                  <c:v>u</c:v>
                </c:pt>
                <c:pt idx="2">
                  <c:v>s</c:v>
                </c:pt>
                <c:pt idx="3">
                  <c:v>v</c:v>
                </c:pt>
                <c:pt idx="4">
                  <c:v>m</c:v>
                </c:pt>
                <c:pt idx="5">
                  <c:v>e</c:v>
                </c:pt>
                <c:pt idx="6">
                  <c:v>cg</c:v>
                </c:pt>
                <c:pt idx="7">
                  <c:v>p</c:v>
                </c:pt>
              </c:strCache>
            </c:strRef>
          </c:cat>
          <c:val>
            <c:numRef>
              <c:f>dataset3!$Q$551:$Q$558</c:f>
              <c:numCache>
                <c:formatCode>General</c:formatCode>
                <c:ptCount val="8"/>
                <c:pt idx="0">
                  <c:v>1</c:v>
                </c:pt>
                <c:pt idx="1">
                  <c:v>1</c:v>
                </c:pt>
                <c:pt idx="2">
                  <c:v>1</c:v>
                </c:pt>
                <c:pt idx="3">
                  <c:v>3</c:v>
                </c:pt>
                <c:pt idx="4">
                  <c:v>1</c:v>
                </c:pt>
                <c:pt idx="5">
                  <c:v>4</c:v>
                </c:pt>
                <c:pt idx="6">
                  <c:v>1</c:v>
                </c:pt>
                <c:pt idx="7">
                  <c:v>0</c:v>
                </c:pt>
              </c:numCache>
            </c:numRef>
          </c:val>
          <c:extLst>
            <c:ext xmlns:c16="http://schemas.microsoft.com/office/drawing/2014/chart" uri="{C3380CC4-5D6E-409C-BE32-E72D297353CC}">
              <c16:uniqueId val="{00000004-BAA8-4BEA-940D-2A5C251EACFB}"/>
            </c:ext>
          </c:extLst>
        </c:ser>
        <c:ser>
          <c:idx val="5"/>
          <c:order val="5"/>
          <c:tx>
            <c:strRef>
              <c:f>dataset3!$R$542</c:f>
              <c:strCache>
                <c:ptCount val="1"/>
                <c:pt idx="0">
                  <c:v>2</c:v>
                </c:pt>
              </c:strCache>
            </c:strRef>
          </c:tx>
          <c:spPr>
            <a:solidFill>
              <a:schemeClr val="accent3">
                <a:lumMod val="40000"/>
                <a:lumOff val="60000"/>
              </a:schemeClr>
            </a:solidFill>
            <a:ln>
              <a:noFill/>
            </a:ln>
            <a:effectLst/>
            <a:sp3d/>
          </c:spPr>
          <c:invertIfNegative val="0"/>
          <c:cat>
            <c:strRef>
              <c:f>dataset3!$J$551:$J$558</c:f>
              <c:strCache>
                <c:ptCount val="8"/>
                <c:pt idx="0">
                  <c:v>g</c:v>
                </c:pt>
                <c:pt idx="1">
                  <c:v>u</c:v>
                </c:pt>
                <c:pt idx="2">
                  <c:v>s</c:v>
                </c:pt>
                <c:pt idx="3">
                  <c:v>v</c:v>
                </c:pt>
                <c:pt idx="4">
                  <c:v>m</c:v>
                </c:pt>
                <c:pt idx="5">
                  <c:v>e</c:v>
                </c:pt>
                <c:pt idx="6">
                  <c:v>cg</c:v>
                </c:pt>
                <c:pt idx="7">
                  <c:v>p</c:v>
                </c:pt>
              </c:strCache>
            </c:strRef>
          </c:cat>
          <c:val>
            <c:numRef>
              <c:f>dataset3!$R$551:$R$558</c:f>
              <c:numCache>
                <c:formatCode>General</c:formatCode>
                <c:ptCount val="8"/>
                <c:pt idx="0">
                  <c:v>2</c:v>
                </c:pt>
                <c:pt idx="1">
                  <c:v>1</c:v>
                </c:pt>
                <c:pt idx="2">
                  <c:v>0</c:v>
                </c:pt>
                <c:pt idx="3">
                  <c:v>0</c:v>
                </c:pt>
                <c:pt idx="4">
                  <c:v>1</c:v>
                </c:pt>
                <c:pt idx="5">
                  <c:v>1</c:v>
                </c:pt>
                <c:pt idx="6">
                  <c:v>4</c:v>
                </c:pt>
                <c:pt idx="7">
                  <c:v>0</c:v>
                </c:pt>
              </c:numCache>
            </c:numRef>
          </c:val>
          <c:extLst>
            <c:ext xmlns:c16="http://schemas.microsoft.com/office/drawing/2014/chart" uri="{C3380CC4-5D6E-409C-BE32-E72D297353CC}">
              <c16:uniqueId val="{00000005-BAA8-4BEA-940D-2A5C251EACFB}"/>
            </c:ext>
          </c:extLst>
        </c:ser>
        <c:ser>
          <c:idx val="6"/>
          <c:order val="6"/>
          <c:tx>
            <c:strRef>
              <c:f>dataset3!$S$542</c:f>
              <c:strCache>
                <c:ptCount val="1"/>
                <c:pt idx="0">
                  <c:v>3</c:v>
                </c:pt>
              </c:strCache>
            </c:strRef>
          </c:tx>
          <c:spPr>
            <a:solidFill>
              <a:schemeClr val="accent3">
                <a:lumMod val="60000"/>
                <a:lumOff val="40000"/>
              </a:schemeClr>
            </a:solidFill>
            <a:ln>
              <a:noFill/>
            </a:ln>
            <a:effectLst/>
            <a:sp3d/>
          </c:spPr>
          <c:invertIfNegative val="0"/>
          <c:cat>
            <c:strRef>
              <c:f>dataset3!$J$551:$J$558</c:f>
              <c:strCache>
                <c:ptCount val="8"/>
                <c:pt idx="0">
                  <c:v>g</c:v>
                </c:pt>
                <c:pt idx="1">
                  <c:v>u</c:v>
                </c:pt>
                <c:pt idx="2">
                  <c:v>s</c:v>
                </c:pt>
                <c:pt idx="3">
                  <c:v>v</c:v>
                </c:pt>
                <c:pt idx="4">
                  <c:v>m</c:v>
                </c:pt>
                <c:pt idx="5">
                  <c:v>e</c:v>
                </c:pt>
                <c:pt idx="6">
                  <c:v>cg</c:v>
                </c:pt>
                <c:pt idx="7">
                  <c:v>p</c:v>
                </c:pt>
              </c:strCache>
            </c:strRef>
          </c:cat>
          <c:val>
            <c:numRef>
              <c:f>dataset3!$S$551:$S$558</c:f>
              <c:numCache>
                <c:formatCode>General</c:formatCode>
                <c:ptCount val="8"/>
                <c:pt idx="0">
                  <c:v>0</c:v>
                </c:pt>
                <c:pt idx="1">
                  <c:v>0</c:v>
                </c:pt>
                <c:pt idx="2">
                  <c:v>0</c:v>
                </c:pt>
                <c:pt idx="3">
                  <c:v>0</c:v>
                </c:pt>
                <c:pt idx="4">
                  <c:v>0</c:v>
                </c:pt>
                <c:pt idx="5">
                  <c:v>0</c:v>
                </c:pt>
                <c:pt idx="6">
                  <c:v>2</c:v>
                </c:pt>
                <c:pt idx="7">
                  <c:v>1</c:v>
                </c:pt>
              </c:numCache>
            </c:numRef>
          </c:val>
          <c:extLst>
            <c:ext xmlns:c16="http://schemas.microsoft.com/office/drawing/2014/chart" uri="{C3380CC4-5D6E-409C-BE32-E72D297353CC}">
              <c16:uniqueId val="{00000006-BAA8-4BEA-940D-2A5C251EACFB}"/>
            </c:ext>
          </c:extLst>
        </c:ser>
        <c:dLbls>
          <c:showLegendKey val="0"/>
          <c:showVal val="0"/>
          <c:showCatName val="0"/>
          <c:showSerName val="0"/>
          <c:showPercent val="0"/>
          <c:showBubbleSize val="0"/>
        </c:dLbls>
        <c:gapWidth val="150"/>
        <c:shape val="box"/>
        <c:axId val="73889423"/>
        <c:axId val="73888943"/>
        <c:axId val="0"/>
      </c:bar3DChart>
      <c:catAx>
        <c:axId val="7388942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888943"/>
        <c:crosses val="autoZero"/>
        <c:auto val="1"/>
        <c:lblAlgn val="ctr"/>
        <c:lblOffset val="100"/>
        <c:noMultiLvlLbl val="0"/>
      </c:catAx>
      <c:valAx>
        <c:axId val="738889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88942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withinLinear" id="14">
  <a:schemeClr val="accent1"/>
</cs:colorStyle>
</file>

<file path=xl/charts/colors2.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2</xdr:col>
      <xdr:colOff>2628900</xdr:colOff>
      <xdr:row>542</xdr:row>
      <xdr:rowOff>133350</xdr:rowOff>
    </xdr:from>
    <xdr:to>
      <xdr:col>4</xdr:col>
      <xdr:colOff>3324225</xdr:colOff>
      <xdr:row>560</xdr:row>
      <xdr:rowOff>100012</xdr:rowOff>
    </xdr:to>
    <xdr:graphicFrame macro="">
      <xdr:nvGraphicFramePr>
        <xdr:cNvPr id="3" name="Chart 2">
          <a:extLst>
            <a:ext uri="{FF2B5EF4-FFF2-40B4-BE49-F238E27FC236}">
              <a16:creationId xmlns:a16="http://schemas.microsoft.com/office/drawing/2014/main" id="{107C8216-8D87-3EEE-29CA-C2CD33E1D0C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2571750</xdr:colOff>
      <xdr:row>561</xdr:row>
      <xdr:rowOff>95250</xdr:rowOff>
    </xdr:from>
    <xdr:to>
      <xdr:col>4</xdr:col>
      <xdr:colOff>3267075</xdr:colOff>
      <xdr:row>579</xdr:row>
      <xdr:rowOff>61912</xdr:rowOff>
    </xdr:to>
    <xdr:graphicFrame macro="">
      <xdr:nvGraphicFramePr>
        <xdr:cNvPr id="4" name="Chart 3">
          <a:extLst>
            <a:ext uri="{FF2B5EF4-FFF2-40B4-BE49-F238E27FC236}">
              <a16:creationId xmlns:a16="http://schemas.microsoft.com/office/drawing/2014/main" id="{67699532-7DE2-4992-AA74-D2725BC128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11C08C-B00D-4ADE-A216-8EBD4F3D8C6E}">
  <dimension ref="A1:T558"/>
  <sheetViews>
    <sheetView tabSelected="1" topLeftCell="A265" zoomScaleNormal="100" workbookViewId="0">
      <selection activeCell="C281" sqref="C281"/>
    </sheetView>
  </sheetViews>
  <sheetFormatPr defaultRowHeight="15" x14ac:dyDescent="0.25"/>
  <cols>
    <col min="1" max="2" width="9.140625" style="18"/>
    <col min="3" max="3" width="54.5703125" style="39" customWidth="1"/>
    <col min="5" max="5" width="57.85546875" style="15" customWidth="1"/>
    <col min="6" max="6" width="9.140625" style="42"/>
    <col min="7" max="7" width="9.140625" style="12"/>
    <col min="9" max="9" width="9.140625" style="21"/>
    <col min="10" max="10" width="9.140625" style="36"/>
  </cols>
  <sheetData>
    <row r="1" spans="1:14" s="9" customFormat="1" x14ac:dyDescent="0.25">
      <c r="A1" s="17" t="s">
        <v>0</v>
      </c>
      <c r="B1" s="17" t="s">
        <v>1053</v>
      </c>
      <c r="C1" s="38" t="s">
        <v>1</v>
      </c>
      <c r="D1" s="9" t="s">
        <v>2</v>
      </c>
      <c r="E1" s="14" t="s">
        <v>3</v>
      </c>
      <c r="F1" s="41" t="s">
        <v>4</v>
      </c>
      <c r="G1" s="11" t="s">
        <v>5</v>
      </c>
      <c r="H1" s="9" t="s">
        <v>6</v>
      </c>
      <c r="I1" s="20" t="s">
        <v>1060</v>
      </c>
      <c r="J1" s="35" t="s">
        <v>1061</v>
      </c>
      <c r="K1" s="9" t="s">
        <v>1245</v>
      </c>
      <c r="L1" s="9" t="s">
        <v>1246</v>
      </c>
    </row>
    <row r="2" spans="1:14" x14ac:dyDescent="0.25">
      <c r="A2" s="25" t="s">
        <v>7</v>
      </c>
      <c r="B2" s="18" t="s">
        <v>1054</v>
      </c>
      <c r="C2" s="39" t="s">
        <v>8</v>
      </c>
      <c r="D2">
        <v>71</v>
      </c>
      <c r="E2" s="15" t="s">
        <v>9</v>
      </c>
      <c r="F2" s="42" t="s">
        <v>1243</v>
      </c>
      <c r="G2" s="12">
        <v>2.2911169999999998</v>
      </c>
      <c r="H2">
        <v>11</v>
      </c>
      <c r="K2">
        <f>COUNTIF(F2:F4,"t")</f>
        <v>2</v>
      </c>
    </row>
    <row r="3" spans="1:14" x14ac:dyDescent="0.25">
      <c r="A3" s="25" t="s">
        <v>10</v>
      </c>
      <c r="B3" s="18" t="s">
        <v>1054</v>
      </c>
      <c r="C3" s="39" t="s">
        <v>8</v>
      </c>
      <c r="D3">
        <v>71</v>
      </c>
      <c r="E3" s="15" t="s">
        <v>11</v>
      </c>
      <c r="F3" s="42" t="s">
        <v>1244</v>
      </c>
      <c r="G3" s="12">
        <v>1.553016</v>
      </c>
      <c r="H3">
        <v>11</v>
      </c>
    </row>
    <row r="4" spans="1:14" x14ac:dyDescent="0.25">
      <c r="A4" s="25" t="s">
        <v>12</v>
      </c>
      <c r="B4" s="18" t="s">
        <v>1054</v>
      </c>
      <c r="C4" s="39" t="s">
        <v>8</v>
      </c>
      <c r="D4">
        <v>71</v>
      </c>
      <c r="E4" s="15" t="s">
        <v>9</v>
      </c>
      <c r="F4" s="42" t="s">
        <v>1243</v>
      </c>
      <c r="G4" s="12">
        <v>1.6553389999999999</v>
      </c>
      <c r="H4">
        <v>11</v>
      </c>
    </row>
    <row r="5" spans="1:14" x14ac:dyDescent="0.25">
      <c r="A5" s="26" t="s">
        <v>13</v>
      </c>
      <c r="B5" s="18" t="s">
        <v>1055</v>
      </c>
      <c r="C5" s="39" t="s">
        <v>14</v>
      </c>
      <c r="D5">
        <v>91</v>
      </c>
      <c r="E5" s="15" t="s">
        <v>9</v>
      </c>
      <c r="F5" s="42" t="s">
        <v>1243</v>
      </c>
      <c r="G5" s="12">
        <v>2.2028629999999998</v>
      </c>
      <c r="H5">
        <v>11</v>
      </c>
      <c r="K5">
        <f>COUNTIF(F5:F7,"t")</f>
        <v>2</v>
      </c>
      <c r="L5">
        <f>K5-K2</f>
        <v>0</v>
      </c>
    </row>
    <row r="6" spans="1:14" x14ac:dyDescent="0.25">
      <c r="A6" s="26" t="s">
        <v>15</v>
      </c>
      <c r="B6" s="18" t="s">
        <v>1055</v>
      </c>
      <c r="C6" s="39" t="s">
        <v>14</v>
      </c>
      <c r="D6">
        <v>91</v>
      </c>
      <c r="E6" s="15" t="s">
        <v>16</v>
      </c>
      <c r="F6" s="42" t="s">
        <v>1243</v>
      </c>
      <c r="G6" s="12">
        <v>1.5582130000000001</v>
      </c>
      <c r="H6">
        <v>11</v>
      </c>
    </row>
    <row r="7" spans="1:14" x14ac:dyDescent="0.25">
      <c r="A7" s="26" t="s">
        <v>17</v>
      </c>
      <c r="B7" s="18" t="s">
        <v>1055</v>
      </c>
      <c r="C7" s="39" t="s">
        <v>14</v>
      </c>
      <c r="D7">
        <v>91</v>
      </c>
      <c r="E7" s="15" t="s">
        <v>18</v>
      </c>
      <c r="F7" s="42" t="s">
        <v>1244</v>
      </c>
      <c r="G7" s="12">
        <v>1.65825</v>
      </c>
      <c r="H7">
        <v>11</v>
      </c>
    </row>
    <row r="8" spans="1:14" x14ac:dyDescent="0.25">
      <c r="A8" s="27" t="s">
        <v>19</v>
      </c>
      <c r="B8" s="18" t="s">
        <v>1056</v>
      </c>
      <c r="C8" s="39" t="s">
        <v>20</v>
      </c>
      <c r="D8">
        <v>118</v>
      </c>
      <c r="E8" s="15" t="s">
        <v>21</v>
      </c>
      <c r="F8" s="42" t="s">
        <v>1243</v>
      </c>
      <c r="G8" s="12">
        <v>19.831674</v>
      </c>
      <c r="H8">
        <v>3</v>
      </c>
      <c r="K8">
        <f>COUNTIF(F8:F10,"t")</f>
        <v>2</v>
      </c>
      <c r="L8">
        <f>K8-K2</f>
        <v>0</v>
      </c>
    </row>
    <row r="9" spans="1:14" x14ac:dyDescent="0.25">
      <c r="A9" s="27" t="s">
        <v>22</v>
      </c>
      <c r="B9" s="18" t="s">
        <v>1056</v>
      </c>
      <c r="C9" s="39" t="s">
        <v>23</v>
      </c>
      <c r="D9">
        <v>116</v>
      </c>
      <c r="E9" s="15" t="s">
        <v>24</v>
      </c>
      <c r="F9" s="42" t="s">
        <v>1244</v>
      </c>
      <c r="G9" s="12">
        <v>21.54702</v>
      </c>
      <c r="H9">
        <v>15</v>
      </c>
    </row>
    <row r="10" spans="1:14" x14ac:dyDescent="0.25">
      <c r="A10" s="28" t="s">
        <v>25</v>
      </c>
      <c r="B10" s="17" t="s">
        <v>1056</v>
      </c>
      <c r="C10" s="38" t="s">
        <v>26</v>
      </c>
      <c r="D10" s="9">
        <v>107</v>
      </c>
      <c r="E10" s="14" t="s">
        <v>21</v>
      </c>
      <c r="F10" s="41" t="s">
        <v>1243</v>
      </c>
      <c r="G10" s="11">
        <v>18.378416999999999</v>
      </c>
      <c r="H10" s="9">
        <v>3</v>
      </c>
      <c r="I10" s="20"/>
      <c r="J10" s="35"/>
      <c r="K10" s="9"/>
      <c r="L10" s="9"/>
      <c r="M10" s="9"/>
      <c r="N10" s="9"/>
    </row>
    <row r="11" spans="1:14" x14ac:dyDescent="0.25">
      <c r="A11" s="29" t="s">
        <v>27</v>
      </c>
      <c r="B11" s="18" t="s">
        <v>1057</v>
      </c>
      <c r="C11" s="39" t="s">
        <v>28</v>
      </c>
      <c r="D11">
        <v>89</v>
      </c>
      <c r="E11" s="15" t="s">
        <v>9</v>
      </c>
      <c r="F11" s="42" t="s">
        <v>1243</v>
      </c>
      <c r="G11" s="12">
        <v>2.2503150000000001</v>
      </c>
      <c r="H11">
        <v>11</v>
      </c>
      <c r="I11" s="22" t="s">
        <v>1063</v>
      </c>
      <c r="J11" s="36">
        <v>-2</v>
      </c>
      <c r="K11">
        <f>COUNTIF(F11:F13,"t")</f>
        <v>2</v>
      </c>
      <c r="L11">
        <f>K11-K2</f>
        <v>0</v>
      </c>
    </row>
    <row r="12" spans="1:14" x14ac:dyDescent="0.25">
      <c r="A12" s="29" t="s">
        <v>29</v>
      </c>
      <c r="B12" s="18" t="s">
        <v>1057</v>
      </c>
      <c r="C12" s="39" t="s">
        <v>28</v>
      </c>
      <c r="D12">
        <v>89</v>
      </c>
      <c r="E12" s="15" t="s">
        <v>11</v>
      </c>
      <c r="F12" s="42" t="s">
        <v>1244</v>
      </c>
      <c r="G12" s="12">
        <v>1.6492979999999999</v>
      </c>
      <c r="H12">
        <v>11</v>
      </c>
      <c r="I12" s="22" t="s">
        <v>1063</v>
      </c>
      <c r="J12" s="36">
        <v>-2</v>
      </c>
    </row>
    <row r="13" spans="1:14" x14ac:dyDescent="0.25">
      <c r="A13" s="30" t="s">
        <v>30</v>
      </c>
      <c r="B13" s="17" t="s">
        <v>1057</v>
      </c>
      <c r="C13" s="38" t="s">
        <v>28</v>
      </c>
      <c r="D13" s="9">
        <v>89</v>
      </c>
      <c r="E13" s="14" t="s">
        <v>31</v>
      </c>
      <c r="F13" s="41" t="s">
        <v>1243</v>
      </c>
      <c r="G13" s="11">
        <v>15.404783999999999</v>
      </c>
      <c r="H13" s="9">
        <v>82</v>
      </c>
      <c r="I13" s="23" t="s">
        <v>1063</v>
      </c>
      <c r="J13" s="35">
        <v>-2</v>
      </c>
      <c r="K13" s="9"/>
      <c r="L13" s="9"/>
      <c r="M13" s="9"/>
      <c r="N13" s="9"/>
    </row>
    <row r="14" spans="1:14" x14ac:dyDescent="0.25">
      <c r="A14" s="31" t="s">
        <v>32</v>
      </c>
      <c r="B14" s="19" t="s">
        <v>1058</v>
      </c>
      <c r="C14" s="40" t="s">
        <v>33</v>
      </c>
      <c r="D14" s="10">
        <v>84</v>
      </c>
      <c r="E14" s="16" t="s">
        <v>11</v>
      </c>
      <c r="F14" s="43" t="s">
        <v>1244</v>
      </c>
      <c r="G14" s="13">
        <v>4.0639909999999997</v>
      </c>
      <c r="H14" s="10">
        <v>11</v>
      </c>
      <c r="I14" s="24" t="s">
        <v>1063</v>
      </c>
      <c r="J14" s="37">
        <v>-1</v>
      </c>
      <c r="K14">
        <f>COUNTIF(F14:F16,"t")</f>
        <v>1</v>
      </c>
      <c r="L14" s="10">
        <f>K14-K2</f>
        <v>-1</v>
      </c>
      <c r="M14" s="10"/>
      <c r="N14" s="10"/>
    </row>
    <row r="15" spans="1:14" x14ac:dyDescent="0.25">
      <c r="A15" s="29" t="s">
        <v>34</v>
      </c>
      <c r="B15" s="18" t="s">
        <v>1058</v>
      </c>
      <c r="C15" s="39" t="s">
        <v>33</v>
      </c>
      <c r="D15">
        <v>84</v>
      </c>
      <c r="E15" s="15" t="s">
        <v>35</v>
      </c>
      <c r="F15" s="42" t="s">
        <v>1244</v>
      </c>
      <c r="G15" s="12">
        <v>14.766959999999999</v>
      </c>
      <c r="H15">
        <v>82</v>
      </c>
      <c r="I15" s="22" t="s">
        <v>1063</v>
      </c>
      <c r="J15" s="36">
        <v>-1</v>
      </c>
    </row>
    <row r="16" spans="1:14" x14ac:dyDescent="0.25">
      <c r="A16" s="30" t="s">
        <v>36</v>
      </c>
      <c r="B16" s="17" t="s">
        <v>1058</v>
      </c>
      <c r="C16" s="38" t="s">
        <v>33</v>
      </c>
      <c r="D16" s="9">
        <v>84</v>
      </c>
      <c r="E16" s="14" t="s">
        <v>37</v>
      </c>
      <c r="F16" s="41" t="s">
        <v>1243</v>
      </c>
      <c r="G16" s="11">
        <v>2.0379610000000001</v>
      </c>
      <c r="H16" s="9">
        <v>11</v>
      </c>
      <c r="I16" s="23" t="s">
        <v>1063</v>
      </c>
      <c r="J16" s="35">
        <v>-1</v>
      </c>
      <c r="K16" s="9"/>
      <c r="L16" s="9"/>
      <c r="M16" s="9"/>
      <c r="N16" s="9"/>
    </row>
    <row r="17" spans="1:14" x14ac:dyDescent="0.25">
      <c r="A17" s="29" t="s">
        <v>38</v>
      </c>
      <c r="B17" s="18" t="s">
        <v>1059</v>
      </c>
      <c r="C17" s="39" t="s">
        <v>39</v>
      </c>
      <c r="D17">
        <v>80</v>
      </c>
      <c r="E17" s="15" t="s">
        <v>40</v>
      </c>
      <c r="F17" s="42" t="s">
        <v>1243</v>
      </c>
      <c r="G17" s="12">
        <v>7.9282370000000002</v>
      </c>
      <c r="H17">
        <v>36</v>
      </c>
      <c r="I17" s="22" t="s">
        <v>1064</v>
      </c>
      <c r="J17" s="36">
        <v>2</v>
      </c>
      <c r="K17">
        <f>COUNTIF(F17:F19,"t")</f>
        <v>2</v>
      </c>
      <c r="L17">
        <f>K17-K2</f>
        <v>0</v>
      </c>
    </row>
    <row r="18" spans="1:14" x14ac:dyDescent="0.25">
      <c r="A18" s="29" t="s">
        <v>41</v>
      </c>
      <c r="B18" s="18" t="s">
        <v>1059</v>
      </c>
      <c r="C18" s="39" t="s">
        <v>39</v>
      </c>
      <c r="D18">
        <v>80</v>
      </c>
      <c r="E18" s="15" t="s">
        <v>18</v>
      </c>
      <c r="F18" s="42" t="s">
        <v>1244</v>
      </c>
      <c r="G18" s="12">
        <v>1.9385790000000001</v>
      </c>
      <c r="H18">
        <v>11</v>
      </c>
      <c r="I18" s="22" t="s">
        <v>1064</v>
      </c>
      <c r="J18" s="36">
        <v>2</v>
      </c>
    </row>
    <row r="19" spans="1:14" s="9" customFormat="1" x14ac:dyDescent="0.25">
      <c r="A19" s="30" t="s">
        <v>42</v>
      </c>
      <c r="B19" s="17" t="s">
        <v>1059</v>
      </c>
      <c r="C19" s="38" t="s">
        <v>39</v>
      </c>
      <c r="D19" s="9">
        <v>80</v>
      </c>
      <c r="E19" s="14" t="s">
        <v>43</v>
      </c>
      <c r="F19" s="41" t="s">
        <v>1243</v>
      </c>
      <c r="G19" s="11">
        <v>10.18835</v>
      </c>
      <c r="H19" s="9">
        <v>53</v>
      </c>
      <c r="I19" s="23" t="s">
        <v>1064</v>
      </c>
      <c r="J19" s="35">
        <v>2</v>
      </c>
    </row>
    <row r="20" spans="1:14" x14ac:dyDescent="0.25">
      <c r="A20" s="25" t="s">
        <v>44</v>
      </c>
      <c r="B20" s="18" t="s">
        <v>1054</v>
      </c>
      <c r="C20" s="39" t="s">
        <v>45</v>
      </c>
      <c r="D20">
        <v>71</v>
      </c>
      <c r="E20" s="15" t="s">
        <v>46</v>
      </c>
      <c r="F20" s="42" t="s">
        <v>1244</v>
      </c>
      <c r="G20" s="12">
        <v>5.6510009999999999</v>
      </c>
      <c r="H20">
        <v>32</v>
      </c>
      <c r="K20">
        <f t="shared" ref="K20" si="0">COUNTIF(F20:F22,"t")</f>
        <v>0</v>
      </c>
    </row>
    <row r="21" spans="1:14" x14ac:dyDescent="0.25">
      <c r="A21" s="25" t="s">
        <v>47</v>
      </c>
      <c r="B21" s="18" t="s">
        <v>1054</v>
      </c>
      <c r="C21" s="39" t="s">
        <v>45</v>
      </c>
      <c r="D21">
        <v>71</v>
      </c>
      <c r="E21" s="15" t="s">
        <v>48</v>
      </c>
      <c r="F21" s="42" t="s">
        <v>1244</v>
      </c>
      <c r="G21" s="12">
        <v>1.7961290000000001</v>
      </c>
      <c r="H21">
        <v>11</v>
      </c>
    </row>
    <row r="22" spans="1:14" x14ac:dyDescent="0.25">
      <c r="A22" s="25" t="s">
        <v>49</v>
      </c>
      <c r="B22" s="18" t="s">
        <v>1054</v>
      </c>
      <c r="C22" s="39" t="s">
        <v>45</v>
      </c>
      <c r="D22">
        <v>71</v>
      </c>
      <c r="E22" s="15" t="s">
        <v>50</v>
      </c>
      <c r="F22" s="42" t="s">
        <v>1244</v>
      </c>
      <c r="G22" s="12">
        <v>5.2045669999999999</v>
      </c>
      <c r="H22">
        <v>28</v>
      </c>
    </row>
    <row r="23" spans="1:14" x14ac:dyDescent="0.25">
      <c r="A23" s="26" t="s">
        <v>51</v>
      </c>
      <c r="B23" s="18" t="s">
        <v>1055</v>
      </c>
      <c r="C23" s="39" t="s">
        <v>52</v>
      </c>
      <c r="D23">
        <v>91</v>
      </c>
      <c r="E23" s="15" t="s">
        <v>48</v>
      </c>
      <c r="F23" s="42" t="s">
        <v>1244</v>
      </c>
      <c r="G23" s="12">
        <v>2.247665</v>
      </c>
      <c r="H23">
        <v>11</v>
      </c>
      <c r="K23">
        <f t="shared" ref="K23" si="1">COUNTIF(F23:F25,"t")</f>
        <v>2</v>
      </c>
      <c r="L23">
        <f t="shared" ref="L23" si="2">K23-K20</f>
        <v>2</v>
      </c>
    </row>
    <row r="24" spans="1:14" x14ac:dyDescent="0.25">
      <c r="A24" s="26" t="s">
        <v>53</v>
      </c>
      <c r="B24" s="18" t="s">
        <v>1055</v>
      </c>
      <c r="C24" s="39" t="s">
        <v>52</v>
      </c>
      <c r="D24">
        <v>91</v>
      </c>
      <c r="E24" s="15" t="s">
        <v>9</v>
      </c>
      <c r="F24" s="42" t="s">
        <v>1243</v>
      </c>
      <c r="G24" s="12">
        <v>1.628968</v>
      </c>
      <c r="H24">
        <v>11</v>
      </c>
    </row>
    <row r="25" spans="1:14" x14ac:dyDescent="0.25">
      <c r="A25" s="26" t="s">
        <v>54</v>
      </c>
      <c r="B25" s="18" t="s">
        <v>1055</v>
      </c>
      <c r="C25" s="39" t="s">
        <v>52</v>
      </c>
      <c r="D25">
        <v>91</v>
      </c>
      <c r="E25" s="15" t="s">
        <v>9</v>
      </c>
      <c r="F25" s="42" t="s">
        <v>1243</v>
      </c>
      <c r="G25" s="12">
        <v>1.674779</v>
      </c>
      <c r="H25">
        <v>11</v>
      </c>
    </row>
    <row r="26" spans="1:14" x14ac:dyDescent="0.25">
      <c r="A26" s="27" t="s">
        <v>55</v>
      </c>
      <c r="B26" s="18" t="s">
        <v>1056</v>
      </c>
      <c r="C26" s="39" t="s">
        <v>56</v>
      </c>
      <c r="D26">
        <v>109</v>
      </c>
      <c r="E26" s="15" t="s">
        <v>21</v>
      </c>
      <c r="F26" s="42" t="s">
        <v>1243</v>
      </c>
      <c r="G26" s="12">
        <v>19.570011999999998</v>
      </c>
      <c r="H26">
        <v>3</v>
      </c>
      <c r="K26">
        <f t="shared" ref="K26" si="3">COUNTIF(F26:F28,"t")</f>
        <v>1</v>
      </c>
      <c r="L26">
        <f t="shared" ref="L26" si="4">K26-K20</f>
        <v>1</v>
      </c>
    </row>
    <row r="27" spans="1:14" x14ac:dyDescent="0.25">
      <c r="A27" s="27" t="s">
        <v>57</v>
      </c>
      <c r="B27" s="18" t="s">
        <v>1056</v>
      </c>
      <c r="C27" s="39" t="s">
        <v>58</v>
      </c>
      <c r="D27">
        <v>124</v>
      </c>
      <c r="E27" s="15" t="s">
        <v>59</v>
      </c>
      <c r="F27" s="42" t="s">
        <v>1244</v>
      </c>
      <c r="G27" s="12">
        <v>22.233872000000002</v>
      </c>
      <c r="H27">
        <v>4</v>
      </c>
    </row>
    <row r="28" spans="1:14" x14ac:dyDescent="0.25">
      <c r="A28" s="28" t="s">
        <v>60</v>
      </c>
      <c r="B28" s="17" t="s">
        <v>1056</v>
      </c>
      <c r="C28" s="38" t="s">
        <v>61</v>
      </c>
      <c r="D28" s="9">
        <v>118</v>
      </c>
      <c r="E28" s="14" t="s">
        <v>62</v>
      </c>
      <c r="F28" s="41" t="s">
        <v>1244</v>
      </c>
      <c r="G28" s="11">
        <v>20.795041999999999</v>
      </c>
      <c r="H28" s="9">
        <v>4</v>
      </c>
      <c r="I28" s="20"/>
      <c r="J28" s="35"/>
      <c r="K28" s="9"/>
      <c r="L28" s="9"/>
      <c r="M28" s="9"/>
      <c r="N28" s="9"/>
    </row>
    <row r="29" spans="1:14" x14ac:dyDescent="0.25">
      <c r="A29" s="29" t="s">
        <v>63</v>
      </c>
      <c r="B29" s="18" t="s">
        <v>1057</v>
      </c>
      <c r="C29" s="39" t="s">
        <v>64</v>
      </c>
      <c r="D29">
        <v>84</v>
      </c>
      <c r="E29" s="15" t="s">
        <v>65</v>
      </c>
      <c r="F29" s="42" t="s">
        <v>1244</v>
      </c>
      <c r="G29" s="12">
        <v>2.904652</v>
      </c>
      <c r="H29">
        <v>11</v>
      </c>
      <c r="I29" s="22" t="s">
        <v>1063</v>
      </c>
      <c r="J29" s="36">
        <v>-1</v>
      </c>
      <c r="K29">
        <f t="shared" ref="K29" si="5">COUNTIF(F29:F31,"t")</f>
        <v>2</v>
      </c>
      <c r="L29">
        <f t="shared" ref="L29" si="6">K29-K20</f>
        <v>2</v>
      </c>
    </row>
    <row r="30" spans="1:14" x14ac:dyDescent="0.25">
      <c r="A30" s="29" t="s">
        <v>66</v>
      </c>
      <c r="B30" s="18" t="s">
        <v>1057</v>
      </c>
      <c r="C30" s="39" t="s">
        <v>64</v>
      </c>
      <c r="D30">
        <v>84</v>
      </c>
      <c r="E30" s="15" t="s">
        <v>67</v>
      </c>
      <c r="F30" s="42" t="s">
        <v>1243</v>
      </c>
      <c r="G30" s="12">
        <v>5.7610849999999996</v>
      </c>
      <c r="H30">
        <v>33</v>
      </c>
      <c r="I30" s="22" t="s">
        <v>1063</v>
      </c>
      <c r="J30" s="36">
        <v>-1</v>
      </c>
    </row>
    <row r="31" spans="1:14" x14ac:dyDescent="0.25">
      <c r="A31" s="30" t="s">
        <v>68</v>
      </c>
      <c r="B31" s="17" t="s">
        <v>1057</v>
      </c>
      <c r="C31" s="38" t="s">
        <v>64</v>
      </c>
      <c r="D31" s="9">
        <v>84</v>
      </c>
      <c r="E31" s="14" t="s">
        <v>16</v>
      </c>
      <c r="F31" s="41" t="s">
        <v>1243</v>
      </c>
      <c r="G31" s="11">
        <v>2.108301</v>
      </c>
      <c r="H31" s="9">
        <v>11</v>
      </c>
      <c r="I31" s="23" t="s">
        <v>1063</v>
      </c>
      <c r="J31" s="35">
        <v>-1</v>
      </c>
      <c r="K31" s="9"/>
      <c r="L31" s="9"/>
      <c r="M31" s="9"/>
      <c r="N31" s="9"/>
    </row>
    <row r="32" spans="1:14" x14ac:dyDescent="0.25">
      <c r="A32" s="31" t="s">
        <v>69</v>
      </c>
      <c r="B32" s="19" t="s">
        <v>1058</v>
      </c>
      <c r="C32" s="40" t="s">
        <v>70</v>
      </c>
      <c r="D32" s="10">
        <v>91</v>
      </c>
      <c r="E32" s="16" t="s">
        <v>71</v>
      </c>
      <c r="F32" s="43" t="s">
        <v>1244</v>
      </c>
      <c r="G32" s="13">
        <v>4.6223749999999999</v>
      </c>
      <c r="H32" s="10">
        <v>13</v>
      </c>
      <c r="I32" s="24" t="s">
        <v>1065</v>
      </c>
      <c r="J32" s="37">
        <v>-2</v>
      </c>
      <c r="K32">
        <f t="shared" ref="K32" si="7">COUNTIF(F32:F34,"t")</f>
        <v>1</v>
      </c>
      <c r="L32" s="10">
        <f t="shared" ref="L32" si="8">K32-K20</f>
        <v>1</v>
      </c>
      <c r="M32" s="10"/>
      <c r="N32" s="10"/>
    </row>
    <row r="33" spans="1:14" x14ac:dyDescent="0.25">
      <c r="A33" s="29" t="s">
        <v>72</v>
      </c>
      <c r="B33" s="18" t="s">
        <v>1058</v>
      </c>
      <c r="C33" s="39" t="s">
        <v>70</v>
      </c>
      <c r="D33">
        <v>91</v>
      </c>
      <c r="E33" s="15" t="s">
        <v>9</v>
      </c>
      <c r="F33" s="42" t="s">
        <v>1243</v>
      </c>
      <c r="G33" s="12">
        <v>1.956906</v>
      </c>
      <c r="H33">
        <v>11</v>
      </c>
      <c r="I33" s="22" t="s">
        <v>1065</v>
      </c>
      <c r="J33" s="36">
        <v>-2</v>
      </c>
    </row>
    <row r="34" spans="1:14" x14ac:dyDescent="0.25">
      <c r="A34" s="30" t="s">
        <v>73</v>
      </c>
      <c r="B34" s="17" t="s">
        <v>1058</v>
      </c>
      <c r="C34" s="38" t="s">
        <v>70</v>
      </c>
      <c r="D34" s="9">
        <v>91</v>
      </c>
      <c r="E34" s="14" t="s">
        <v>74</v>
      </c>
      <c r="F34" s="41" t="s">
        <v>1244</v>
      </c>
      <c r="G34" s="11">
        <v>11.790748000000001</v>
      </c>
      <c r="H34" s="9">
        <v>60</v>
      </c>
      <c r="I34" s="23" t="s">
        <v>1065</v>
      </c>
      <c r="J34" s="35">
        <v>-2</v>
      </c>
      <c r="K34" s="9"/>
      <c r="L34" s="9"/>
      <c r="M34" s="9"/>
      <c r="N34" s="9"/>
    </row>
    <row r="35" spans="1:14" x14ac:dyDescent="0.25">
      <c r="A35" s="29" t="s">
        <v>75</v>
      </c>
      <c r="B35" s="18" t="s">
        <v>1059</v>
      </c>
      <c r="C35" s="39" t="s">
        <v>76</v>
      </c>
      <c r="D35">
        <v>84</v>
      </c>
      <c r="E35" s="15" t="s">
        <v>77</v>
      </c>
      <c r="F35" s="42" t="s">
        <v>1243</v>
      </c>
      <c r="G35" s="12">
        <v>6.0001329999999999</v>
      </c>
      <c r="H35">
        <v>25</v>
      </c>
      <c r="I35" s="22" t="s">
        <v>1066</v>
      </c>
      <c r="J35" s="36">
        <v>1</v>
      </c>
      <c r="K35">
        <f t="shared" ref="K35" si="9">COUNTIF(F35:F37,"t")</f>
        <v>2</v>
      </c>
      <c r="L35">
        <f t="shared" ref="L35" si="10">K35-K20</f>
        <v>2</v>
      </c>
    </row>
    <row r="36" spans="1:14" x14ac:dyDescent="0.25">
      <c r="A36" s="29" t="s">
        <v>78</v>
      </c>
      <c r="B36" s="18" t="s">
        <v>1059</v>
      </c>
      <c r="C36" s="39" t="s">
        <v>76</v>
      </c>
      <c r="D36">
        <v>84</v>
      </c>
      <c r="E36" s="15" t="s">
        <v>79</v>
      </c>
      <c r="F36" s="42" t="s">
        <v>1243</v>
      </c>
      <c r="G36" s="12">
        <v>11.348345999999999</v>
      </c>
      <c r="H36">
        <v>55</v>
      </c>
      <c r="I36" s="22" t="s">
        <v>1066</v>
      </c>
      <c r="J36" s="36">
        <v>1</v>
      </c>
    </row>
    <row r="37" spans="1:14" s="9" customFormat="1" x14ac:dyDescent="0.25">
      <c r="A37" s="30" t="s">
        <v>80</v>
      </c>
      <c r="B37" s="17" t="s">
        <v>1059</v>
      </c>
      <c r="C37" s="38" t="s">
        <v>76</v>
      </c>
      <c r="D37" s="9">
        <v>84</v>
      </c>
      <c r="E37" s="14" t="s">
        <v>65</v>
      </c>
      <c r="F37" s="41" t="s">
        <v>1244</v>
      </c>
      <c r="G37" s="11">
        <v>1.92584</v>
      </c>
      <c r="H37" s="9">
        <v>11</v>
      </c>
      <c r="I37" s="23" t="s">
        <v>1066</v>
      </c>
      <c r="J37" s="35">
        <v>1</v>
      </c>
    </row>
    <row r="38" spans="1:14" x14ac:dyDescent="0.25">
      <c r="A38" s="25" t="s">
        <v>81</v>
      </c>
      <c r="B38" s="18" t="s">
        <v>1054</v>
      </c>
      <c r="C38" s="39" t="s">
        <v>82</v>
      </c>
      <c r="D38">
        <v>63</v>
      </c>
      <c r="E38" s="15" t="s">
        <v>83</v>
      </c>
      <c r="F38" s="42" t="s">
        <v>1244</v>
      </c>
      <c r="G38" s="12">
        <v>2.442577</v>
      </c>
      <c r="H38">
        <v>10</v>
      </c>
      <c r="K38">
        <f t="shared" ref="K38" si="11">COUNTIF(F38:F40,"t")</f>
        <v>0</v>
      </c>
    </row>
    <row r="39" spans="1:14" x14ac:dyDescent="0.25">
      <c r="A39" s="25" t="s">
        <v>84</v>
      </c>
      <c r="B39" s="18" t="s">
        <v>1054</v>
      </c>
      <c r="C39" s="39" t="s">
        <v>82</v>
      </c>
      <c r="D39">
        <v>63</v>
      </c>
      <c r="E39" s="15" t="s">
        <v>85</v>
      </c>
      <c r="F39" s="42" t="s">
        <v>1244</v>
      </c>
      <c r="G39" s="12">
        <v>1.6219300000000001</v>
      </c>
      <c r="H39">
        <v>10</v>
      </c>
    </row>
    <row r="40" spans="1:14" x14ac:dyDescent="0.25">
      <c r="A40" s="25" t="s">
        <v>86</v>
      </c>
      <c r="B40" s="18" t="s">
        <v>1054</v>
      </c>
      <c r="C40" s="39" t="s">
        <v>82</v>
      </c>
      <c r="D40">
        <v>63</v>
      </c>
      <c r="E40" s="15" t="s">
        <v>87</v>
      </c>
      <c r="F40" s="42" t="s">
        <v>1244</v>
      </c>
      <c r="G40" s="12">
        <v>0.74564900000000001</v>
      </c>
      <c r="H40">
        <v>5</v>
      </c>
    </row>
    <row r="41" spans="1:14" x14ac:dyDescent="0.25">
      <c r="A41" s="26" t="s">
        <v>88</v>
      </c>
      <c r="B41" s="18" t="s">
        <v>1055</v>
      </c>
      <c r="C41" s="39" t="s">
        <v>89</v>
      </c>
      <c r="D41">
        <v>80</v>
      </c>
      <c r="E41" s="15" t="s">
        <v>90</v>
      </c>
      <c r="F41" s="42" t="s">
        <v>1244</v>
      </c>
      <c r="G41" s="12">
        <v>3.0311490000000001</v>
      </c>
      <c r="H41">
        <v>15</v>
      </c>
      <c r="K41">
        <f t="shared" ref="K41" si="12">COUNTIF(F41:F43,"t")</f>
        <v>0</v>
      </c>
      <c r="L41">
        <f t="shared" ref="L41" si="13">K41-K38</f>
        <v>0</v>
      </c>
    </row>
    <row r="42" spans="1:14" x14ac:dyDescent="0.25">
      <c r="A42" s="26" t="s">
        <v>91</v>
      </c>
      <c r="B42" s="18" t="s">
        <v>1055</v>
      </c>
      <c r="C42" s="39" t="s">
        <v>89</v>
      </c>
      <c r="D42">
        <v>80</v>
      </c>
      <c r="E42" s="15" t="s">
        <v>83</v>
      </c>
      <c r="F42" s="42" t="s">
        <v>1244</v>
      </c>
      <c r="G42" s="12">
        <v>1.574465</v>
      </c>
      <c r="H42">
        <v>10</v>
      </c>
    </row>
    <row r="43" spans="1:14" x14ac:dyDescent="0.25">
      <c r="A43" s="26" t="s">
        <v>92</v>
      </c>
      <c r="B43" s="18" t="s">
        <v>1055</v>
      </c>
      <c r="C43" s="39" t="s">
        <v>89</v>
      </c>
      <c r="D43">
        <v>80</v>
      </c>
      <c r="E43" s="15" t="s">
        <v>93</v>
      </c>
      <c r="F43" s="42" t="s">
        <v>1244</v>
      </c>
      <c r="G43" s="12">
        <v>1.6235139999999999</v>
      </c>
      <c r="H43">
        <v>10</v>
      </c>
    </row>
    <row r="44" spans="1:14" x14ac:dyDescent="0.25">
      <c r="A44" s="27" t="s">
        <v>94</v>
      </c>
      <c r="B44" s="18" t="s">
        <v>1056</v>
      </c>
      <c r="C44" s="39" t="s">
        <v>95</v>
      </c>
      <c r="D44">
        <v>109</v>
      </c>
      <c r="E44" s="15" t="s">
        <v>96</v>
      </c>
      <c r="F44" s="42" t="s">
        <v>1244</v>
      </c>
      <c r="G44" s="12">
        <v>19.794195999999999</v>
      </c>
      <c r="H44">
        <v>7</v>
      </c>
      <c r="K44">
        <f t="shared" ref="K44" si="14">COUNTIF(F44:F46,"t")</f>
        <v>0</v>
      </c>
      <c r="L44">
        <f t="shared" ref="L44" si="15">K44-K38</f>
        <v>0</v>
      </c>
    </row>
    <row r="45" spans="1:14" x14ac:dyDescent="0.25">
      <c r="A45" s="27" t="s">
        <v>97</v>
      </c>
      <c r="B45" s="18" t="s">
        <v>1056</v>
      </c>
      <c r="C45" s="39" t="s">
        <v>98</v>
      </c>
      <c r="D45">
        <v>108</v>
      </c>
      <c r="E45" s="15" t="s">
        <v>99</v>
      </c>
      <c r="F45" s="42" t="s">
        <v>1244</v>
      </c>
      <c r="G45" s="12">
        <v>19.222581999999999</v>
      </c>
      <c r="H45">
        <v>12</v>
      </c>
    </row>
    <row r="46" spans="1:14" x14ac:dyDescent="0.25">
      <c r="A46" s="28" t="s">
        <v>100</v>
      </c>
      <c r="B46" s="17" t="s">
        <v>1056</v>
      </c>
      <c r="C46" s="38" t="s">
        <v>101</v>
      </c>
      <c r="D46" s="9">
        <v>117</v>
      </c>
      <c r="E46" s="14" t="s">
        <v>96</v>
      </c>
      <c r="F46" s="41" t="s">
        <v>1244</v>
      </c>
      <c r="G46" s="11">
        <v>20.633824000000001</v>
      </c>
      <c r="H46" s="9">
        <v>7</v>
      </c>
      <c r="I46" s="20"/>
      <c r="J46" s="35"/>
      <c r="K46" s="9"/>
      <c r="L46" s="9"/>
      <c r="M46" s="9"/>
      <c r="N46" s="9"/>
    </row>
    <row r="47" spans="1:14" x14ac:dyDescent="0.25">
      <c r="A47" s="29" t="s">
        <v>102</v>
      </c>
      <c r="B47" s="18" t="s">
        <v>1057</v>
      </c>
      <c r="C47" s="39" t="s">
        <v>103</v>
      </c>
      <c r="D47">
        <v>76</v>
      </c>
      <c r="E47" s="15" t="s">
        <v>104</v>
      </c>
      <c r="F47" s="42" t="s">
        <v>1244</v>
      </c>
      <c r="G47" s="12">
        <v>1.2936989999999999</v>
      </c>
      <c r="H47">
        <v>5</v>
      </c>
      <c r="I47" s="22" t="s">
        <v>1063</v>
      </c>
      <c r="J47" s="36">
        <v>-2</v>
      </c>
      <c r="K47">
        <f t="shared" ref="K47" si="16">COUNTIF(F47:F49,"t")</f>
        <v>0</v>
      </c>
      <c r="L47">
        <f t="shared" ref="L47" si="17">K47-K38</f>
        <v>0</v>
      </c>
    </row>
    <row r="48" spans="1:14" x14ac:dyDescent="0.25">
      <c r="A48" s="29" t="s">
        <v>105</v>
      </c>
      <c r="B48" s="18" t="s">
        <v>1057</v>
      </c>
      <c r="C48" s="39" t="s">
        <v>103</v>
      </c>
      <c r="D48">
        <v>76</v>
      </c>
      <c r="E48" s="15" t="s">
        <v>85</v>
      </c>
      <c r="F48" s="42" t="s">
        <v>1244</v>
      </c>
      <c r="G48" s="12">
        <v>1.4746459999999999</v>
      </c>
      <c r="H48">
        <v>10</v>
      </c>
      <c r="I48" s="22" t="s">
        <v>1063</v>
      </c>
      <c r="J48" s="36">
        <v>-2</v>
      </c>
    </row>
    <row r="49" spans="1:14" x14ac:dyDescent="0.25">
      <c r="A49" s="30" t="s">
        <v>106</v>
      </c>
      <c r="B49" s="17" t="s">
        <v>1057</v>
      </c>
      <c r="C49" s="38" t="s">
        <v>103</v>
      </c>
      <c r="D49" s="9">
        <v>76</v>
      </c>
      <c r="E49" s="14" t="s">
        <v>104</v>
      </c>
      <c r="F49" s="41" t="s">
        <v>1244</v>
      </c>
      <c r="G49" s="11">
        <v>0.96147199999999999</v>
      </c>
      <c r="H49" s="9">
        <v>5</v>
      </c>
      <c r="I49" s="23" t="s">
        <v>1063</v>
      </c>
      <c r="J49" s="35">
        <v>-2</v>
      </c>
      <c r="K49" s="9"/>
      <c r="L49" s="9"/>
      <c r="M49" s="9"/>
      <c r="N49" s="9"/>
    </row>
    <row r="50" spans="1:14" x14ac:dyDescent="0.25">
      <c r="A50" s="31" t="s">
        <v>107</v>
      </c>
      <c r="B50" s="19" t="s">
        <v>1058</v>
      </c>
      <c r="C50" s="40" t="s">
        <v>108</v>
      </c>
      <c r="D50" s="10">
        <v>80</v>
      </c>
      <c r="E50" s="16" t="s">
        <v>93</v>
      </c>
      <c r="F50" s="43" t="s">
        <v>1244</v>
      </c>
      <c r="G50" s="13">
        <v>4.0523340000000001</v>
      </c>
      <c r="H50" s="10">
        <v>10</v>
      </c>
      <c r="I50" s="24" t="s">
        <v>1239</v>
      </c>
      <c r="J50" s="37">
        <v>-1</v>
      </c>
      <c r="K50">
        <f t="shared" ref="K50" si="18">COUNTIF(F50:F52,"t")</f>
        <v>1</v>
      </c>
      <c r="L50" s="10">
        <f t="shared" ref="L50" si="19">K50-K38</f>
        <v>1</v>
      </c>
      <c r="M50" s="10"/>
      <c r="N50" s="10"/>
    </row>
    <row r="51" spans="1:14" x14ac:dyDescent="0.25">
      <c r="A51" s="29" t="s">
        <v>109</v>
      </c>
      <c r="B51" s="18" t="s">
        <v>1058</v>
      </c>
      <c r="C51" s="39" t="s">
        <v>108</v>
      </c>
      <c r="D51">
        <v>80</v>
      </c>
      <c r="E51" s="15" t="s">
        <v>110</v>
      </c>
      <c r="F51" s="42" t="s">
        <v>1244</v>
      </c>
      <c r="G51" s="12">
        <v>3.441751</v>
      </c>
      <c r="H51">
        <v>21</v>
      </c>
      <c r="I51" s="22" t="s">
        <v>1239</v>
      </c>
      <c r="J51" s="36">
        <v>-1</v>
      </c>
    </row>
    <row r="52" spans="1:14" x14ac:dyDescent="0.25">
      <c r="A52" s="30" t="s">
        <v>111</v>
      </c>
      <c r="B52" s="17" t="s">
        <v>1058</v>
      </c>
      <c r="C52" s="38" t="s">
        <v>108</v>
      </c>
      <c r="D52" s="9">
        <v>80</v>
      </c>
      <c r="E52" s="14" t="s">
        <v>112</v>
      </c>
      <c r="F52" s="41" t="s">
        <v>1243</v>
      </c>
      <c r="G52" s="11">
        <v>12.427688</v>
      </c>
      <c r="H52" s="9">
        <v>62</v>
      </c>
      <c r="I52" s="23" t="s">
        <v>1239</v>
      </c>
      <c r="J52" s="35">
        <v>-1</v>
      </c>
      <c r="K52" s="9"/>
      <c r="L52" s="9"/>
      <c r="M52" s="9"/>
      <c r="N52" s="9"/>
    </row>
    <row r="53" spans="1:14" x14ac:dyDescent="0.25">
      <c r="A53" s="29" t="s">
        <v>113</v>
      </c>
      <c r="B53" s="18" t="s">
        <v>1059</v>
      </c>
      <c r="C53" s="39" t="s">
        <v>114</v>
      </c>
      <c r="D53">
        <v>75</v>
      </c>
      <c r="E53" s="15" t="s">
        <v>115</v>
      </c>
      <c r="F53" s="42" t="s">
        <v>1244</v>
      </c>
      <c r="G53" s="12">
        <v>11.309500999999999</v>
      </c>
      <c r="H53">
        <v>49</v>
      </c>
      <c r="I53" s="22" t="s">
        <v>1239</v>
      </c>
      <c r="J53" s="36">
        <v>0</v>
      </c>
      <c r="K53">
        <f t="shared" ref="K53" si="20">COUNTIF(F53:F55,"t")</f>
        <v>0</v>
      </c>
      <c r="L53">
        <f t="shared" ref="L53" si="21">K53-K38</f>
        <v>0</v>
      </c>
    </row>
    <row r="54" spans="1:14" x14ac:dyDescent="0.25">
      <c r="A54" s="29" t="s">
        <v>116</v>
      </c>
      <c r="B54" s="18" t="s">
        <v>1059</v>
      </c>
      <c r="C54" s="39" t="s">
        <v>114</v>
      </c>
      <c r="D54">
        <v>75</v>
      </c>
      <c r="E54" s="15" t="s">
        <v>117</v>
      </c>
      <c r="F54" s="42" t="s">
        <v>1244</v>
      </c>
      <c r="G54" s="12">
        <v>12.217934</v>
      </c>
      <c r="H54">
        <v>58</v>
      </c>
      <c r="I54" s="22" t="s">
        <v>1239</v>
      </c>
      <c r="J54" s="36">
        <v>0</v>
      </c>
    </row>
    <row r="55" spans="1:14" s="9" customFormat="1" x14ac:dyDescent="0.25">
      <c r="A55" s="30" t="s">
        <v>118</v>
      </c>
      <c r="B55" s="17" t="s">
        <v>1059</v>
      </c>
      <c r="C55" s="38" t="s">
        <v>114</v>
      </c>
      <c r="D55" s="9">
        <v>75</v>
      </c>
      <c r="E55" s="14" t="s">
        <v>119</v>
      </c>
      <c r="F55" s="41" t="s">
        <v>1244</v>
      </c>
      <c r="G55" s="11">
        <v>1.582003</v>
      </c>
      <c r="H55" s="9">
        <v>10</v>
      </c>
      <c r="I55" s="23" t="s">
        <v>1239</v>
      </c>
      <c r="J55" s="35">
        <v>0</v>
      </c>
    </row>
    <row r="56" spans="1:14" x14ac:dyDescent="0.25">
      <c r="A56" s="25" t="s">
        <v>120</v>
      </c>
      <c r="B56" s="18" t="s">
        <v>1054</v>
      </c>
      <c r="C56" s="39" t="s">
        <v>121</v>
      </c>
      <c r="D56">
        <v>72</v>
      </c>
      <c r="E56" s="15" t="s">
        <v>122</v>
      </c>
      <c r="F56" s="42" t="s">
        <v>1244</v>
      </c>
      <c r="G56" s="12">
        <v>1.1450800000000001</v>
      </c>
      <c r="H56">
        <v>4</v>
      </c>
      <c r="K56">
        <f t="shared" ref="K56" si="22">COUNTIF(F56:F58,"t")</f>
        <v>1</v>
      </c>
    </row>
    <row r="57" spans="1:14" x14ac:dyDescent="0.25">
      <c r="A57" s="25" t="s">
        <v>123</v>
      </c>
      <c r="B57" s="18" t="s">
        <v>1054</v>
      </c>
      <c r="C57" s="39" t="s">
        <v>121</v>
      </c>
      <c r="D57">
        <v>72</v>
      </c>
      <c r="E57" s="15" t="s">
        <v>122</v>
      </c>
      <c r="F57" s="42" t="s">
        <v>1244</v>
      </c>
      <c r="G57" s="12">
        <v>0.53661000000000003</v>
      </c>
      <c r="H57">
        <v>4</v>
      </c>
    </row>
    <row r="58" spans="1:14" x14ac:dyDescent="0.25">
      <c r="A58" s="25" t="s">
        <v>124</v>
      </c>
      <c r="B58" s="18" t="s">
        <v>1054</v>
      </c>
      <c r="C58" s="39" t="s">
        <v>121</v>
      </c>
      <c r="D58">
        <v>72</v>
      </c>
      <c r="E58" s="15" t="s">
        <v>125</v>
      </c>
      <c r="F58" s="42" t="s">
        <v>1243</v>
      </c>
      <c r="G58" s="12">
        <v>0.55571800000000005</v>
      </c>
      <c r="H58">
        <v>4</v>
      </c>
    </row>
    <row r="59" spans="1:14" x14ac:dyDescent="0.25">
      <c r="A59" s="26" t="s">
        <v>126</v>
      </c>
      <c r="B59" s="18" t="s">
        <v>1055</v>
      </c>
      <c r="C59" s="39" t="s">
        <v>127</v>
      </c>
      <c r="D59">
        <v>92</v>
      </c>
      <c r="E59" s="15" t="s">
        <v>122</v>
      </c>
      <c r="F59" s="42" t="s">
        <v>1244</v>
      </c>
      <c r="G59" s="12">
        <v>1.1649849999999999</v>
      </c>
      <c r="H59">
        <v>4</v>
      </c>
      <c r="K59">
        <f t="shared" ref="K59" si="23">COUNTIF(F59:F61,"t")</f>
        <v>0</v>
      </c>
      <c r="L59">
        <f t="shared" ref="L59" si="24">K59-K56</f>
        <v>-1</v>
      </c>
    </row>
    <row r="60" spans="1:14" x14ac:dyDescent="0.25">
      <c r="A60" s="26" t="s">
        <v>128</v>
      </c>
      <c r="B60" s="18" t="s">
        <v>1055</v>
      </c>
      <c r="C60" s="39" t="s">
        <v>127</v>
      </c>
      <c r="D60">
        <v>92</v>
      </c>
      <c r="E60" s="15" t="s">
        <v>129</v>
      </c>
      <c r="F60" s="42" t="s">
        <v>1244</v>
      </c>
      <c r="G60" s="12">
        <v>0.38508500000000001</v>
      </c>
      <c r="H60">
        <v>3</v>
      </c>
    </row>
    <row r="61" spans="1:14" x14ac:dyDescent="0.25">
      <c r="A61" s="26" t="s">
        <v>130</v>
      </c>
      <c r="B61" s="18" t="s">
        <v>1055</v>
      </c>
      <c r="C61" s="39" t="s">
        <v>127</v>
      </c>
      <c r="D61">
        <v>92</v>
      </c>
      <c r="E61" s="15" t="s">
        <v>129</v>
      </c>
      <c r="F61" s="42" t="s">
        <v>1244</v>
      </c>
      <c r="G61" s="12">
        <v>0.38806499999999999</v>
      </c>
      <c r="H61">
        <v>3</v>
      </c>
    </row>
    <row r="62" spans="1:14" x14ac:dyDescent="0.25">
      <c r="A62" s="27" t="s">
        <v>131</v>
      </c>
      <c r="B62" s="18" t="s">
        <v>1056</v>
      </c>
      <c r="C62" s="39" t="s">
        <v>132</v>
      </c>
      <c r="D62">
        <v>108</v>
      </c>
      <c r="E62" s="15" t="s">
        <v>129</v>
      </c>
      <c r="F62" s="42" t="s">
        <v>1244</v>
      </c>
      <c r="G62" s="12">
        <v>19.315394000000001</v>
      </c>
      <c r="H62">
        <v>3</v>
      </c>
      <c r="K62">
        <f t="shared" ref="K62" si="25">COUNTIF(F62:F64,"t")</f>
        <v>0</v>
      </c>
      <c r="L62">
        <f t="shared" ref="L62" si="26">K62-K56</f>
        <v>-1</v>
      </c>
    </row>
    <row r="63" spans="1:14" x14ac:dyDescent="0.25">
      <c r="A63" s="27" t="s">
        <v>133</v>
      </c>
      <c r="B63" s="18" t="s">
        <v>1056</v>
      </c>
      <c r="C63" s="39" t="s">
        <v>134</v>
      </c>
      <c r="D63">
        <v>97</v>
      </c>
      <c r="E63" s="15" t="s">
        <v>122</v>
      </c>
      <c r="F63" s="42" t="s">
        <v>1244</v>
      </c>
      <c r="G63" s="12">
        <v>16.548017999999999</v>
      </c>
      <c r="H63">
        <v>4</v>
      </c>
    </row>
    <row r="64" spans="1:14" x14ac:dyDescent="0.25">
      <c r="A64" s="28" t="s">
        <v>135</v>
      </c>
      <c r="B64" s="17" t="s">
        <v>1056</v>
      </c>
      <c r="C64" s="38" t="s">
        <v>136</v>
      </c>
      <c r="D64" s="9">
        <v>98</v>
      </c>
      <c r="E64" s="14" t="s">
        <v>137</v>
      </c>
      <c r="F64" s="41" t="s">
        <v>1244</v>
      </c>
      <c r="G64" s="11">
        <v>17.412431000000002</v>
      </c>
      <c r="H64" s="9">
        <v>9</v>
      </c>
      <c r="I64" s="20"/>
      <c r="J64" s="35"/>
      <c r="K64" s="9"/>
      <c r="L64" s="9"/>
      <c r="M64" s="9"/>
      <c r="N64" s="9"/>
    </row>
    <row r="65" spans="1:14" x14ac:dyDescent="0.25">
      <c r="A65" s="29" t="s">
        <v>138</v>
      </c>
      <c r="B65" s="18" t="s">
        <v>1057</v>
      </c>
      <c r="C65" s="39" t="s">
        <v>139</v>
      </c>
      <c r="D65">
        <v>86</v>
      </c>
      <c r="E65" s="15" t="s">
        <v>122</v>
      </c>
      <c r="F65" s="42" t="s">
        <v>1244</v>
      </c>
      <c r="G65" s="12">
        <v>1.1493249999999999</v>
      </c>
      <c r="H65">
        <v>4</v>
      </c>
      <c r="I65" s="22" t="s">
        <v>1065</v>
      </c>
      <c r="J65" s="36">
        <v>-2</v>
      </c>
      <c r="K65">
        <f t="shared" ref="K65" si="27">COUNTIF(F65:F67,"t")</f>
        <v>1</v>
      </c>
      <c r="L65">
        <f t="shared" ref="L65" si="28">K65-K56</f>
        <v>0</v>
      </c>
    </row>
    <row r="66" spans="1:14" x14ac:dyDescent="0.25">
      <c r="A66" s="29" t="s">
        <v>140</v>
      </c>
      <c r="B66" s="18" t="s">
        <v>1057</v>
      </c>
      <c r="C66" s="39" t="s">
        <v>139</v>
      </c>
      <c r="D66">
        <v>86</v>
      </c>
      <c r="E66" s="15" t="s">
        <v>141</v>
      </c>
      <c r="F66" s="42" t="s">
        <v>1244</v>
      </c>
      <c r="G66" s="12">
        <v>0.82685200000000003</v>
      </c>
      <c r="H66">
        <v>6</v>
      </c>
      <c r="I66" s="22" t="s">
        <v>1065</v>
      </c>
      <c r="J66" s="36">
        <v>-2</v>
      </c>
    </row>
    <row r="67" spans="1:14" x14ac:dyDescent="0.25">
      <c r="A67" s="30" t="s">
        <v>142</v>
      </c>
      <c r="B67" s="17" t="s">
        <v>1057</v>
      </c>
      <c r="C67" s="38" t="s">
        <v>139</v>
      </c>
      <c r="D67" s="9">
        <v>86</v>
      </c>
      <c r="E67" s="14" t="s">
        <v>143</v>
      </c>
      <c r="F67" s="41" t="s">
        <v>1243</v>
      </c>
      <c r="G67" s="11">
        <v>0.36768600000000001</v>
      </c>
      <c r="H67" s="9">
        <v>3</v>
      </c>
      <c r="I67" s="23" t="s">
        <v>1065</v>
      </c>
      <c r="J67" s="35">
        <v>-2</v>
      </c>
      <c r="K67" s="9"/>
      <c r="L67" s="9"/>
      <c r="M67" s="9"/>
      <c r="N67" s="9"/>
    </row>
    <row r="68" spans="1:14" x14ac:dyDescent="0.25">
      <c r="A68" s="31" t="s">
        <v>144</v>
      </c>
      <c r="B68" s="19" t="s">
        <v>1058</v>
      </c>
      <c r="C68" s="40" t="s">
        <v>145</v>
      </c>
      <c r="D68" s="10">
        <v>88</v>
      </c>
      <c r="E68" s="16" t="s">
        <v>129</v>
      </c>
      <c r="F68" s="43" t="s">
        <v>1244</v>
      </c>
      <c r="G68" s="13">
        <v>2.6077080000000001</v>
      </c>
      <c r="H68" s="10">
        <v>3</v>
      </c>
      <c r="I68" s="24" t="s">
        <v>1063</v>
      </c>
      <c r="J68" s="37">
        <v>-1</v>
      </c>
      <c r="K68">
        <f t="shared" ref="K68" si="29">COUNTIF(F68:F70,"t")</f>
        <v>0</v>
      </c>
      <c r="L68" s="10">
        <f t="shared" ref="L68" si="30">K68-K56</f>
        <v>-1</v>
      </c>
      <c r="M68" s="10"/>
      <c r="N68" s="10"/>
    </row>
    <row r="69" spans="1:14" x14ac:dyDescent="0.25">
      <c r="A69" s="29" t="s">
        <v>146</v>
      </c>
      <c r="B69" s="18" t="s">
        <v>1058</v>
      </c>
      <c r="C69" s="39" t="s">
        <v>145</v>
      </c>
      <c r="D69">
        <v>88</v>
      </c>
      <c r="E69" s="15" t="s">
        <v>147</v>
      </c>
      <c r="F69" s="42" t="s">
        <v>1244</v>
      </c>
      <c r="G69" s="12">
        <v>1.660139</v>
      </c>
      <c r="H69">
        <v>8</v>
      </c>
      <c r="I69" s="22" t="s">
        <v>1063</v>
      </c>
      <c r="J69" s="36">
        <v>-1</v>
      </c>
    </row>
    <row r="70" spans="1:14" x14ac:dyDescent="0.25">
      <c r="A70" s="30" t="s">
        <v>148</v>
      </c>
      <c r="B70" s="17" t="s">
        <v>1058</v>
      </c>
      <c r="C70" s="38" t="s">
        <v>145</v>
      </c>
      <c r="D70" s="9">
        <v>88</v>
      </c>
      <c r="E70" s="14" t="s">
        <v>122</v>
      </c>
      <c r="F70" s="41" t="s">
        <v>1244</v>
      </c>
      <c r="G70" s="11">
        <v>0.67665200000000003</v>
      </c>
      <c r="H70" s="9">
        <v>4</v>
      </c>
      <c r="I70" s="23" t="s">
        <v>1063</v>
      </c>
      <c r="J70" s="35">
        <v>-1</v>
      </c>
      <c r="K70" s="9"/>
      <c r="L70" s="9"/>
      <c r="M70" s="9"/>
      <c r="N70" s="9"/>
    </row>
    <row r="71" spans="1:14" x14ac:dyDescent="0.25">
      <c r="A71" s="29" t="s">
        <v>149</v>
      </c>
      <c r="B71" s="18" t="s">
        <v>1059</v>
      </c>
      <c r="C71" s="39" t="s">
        <v>150</v>
      </c>
      <c r="D71">
        <v>90</v>
      </c>
      <c r="E71" s="15" t="s">
        <v>122</v>
      </c>
      <c r="F71" s="42" t="s">
        <v>1244</v>
      </c>
      <c r="G71" s="12">
        <v>2.888827</v>
      </c>
      <c r="H71">
        <v>4</v>
      </c>
      <c r="I71" s="22" t="s">
        <v>1065</v>
      </c>
      <c r="J71" s="36">
        <v>-2</v>
      </c>
      <c r="K71">
        <f t="shared" ref="K71" si="31">COUNTIF(F71:F73,"t")</f>
        <v>1</v>
      </c>
      <c r="L71">
        <f t="shared" ref="L71" si="32">K71-K56</f>
        <v>0</v>
      </c>
    </row>
    <row r="72" spans="1:14" x14ac:dyDescent="0.25">
      <c r="A72" s="29" t="s">
        <v>151</v>
      </c>
      <c r="B72" s="18" t="s">
        <v>1059</v>
      </c>
      <c r="C72" s="39" t="s">
        <v>150</v>
      </c>
      <c r="D72">
        <v>90</v>
      </c>
      <c r="E72" s="15" t="s">
        <v>125</v>
      </c>
      <c r="F72" s="42" t="s">
        <v>1243</v>
      </c>
      <c r="G72" s="12">
        <v>0.75907599999999997</v>
      </c>
      <c r="H72">
        <v>4</v>
      </c>
      <c r="I72" s="22" t="s">
        <v>1065</v>
      </c>
      <c r="J72" s="36">
        <v>-2</v>
      </c>
    </row>
    <row r="73" spans="1:14" s="9" customFormat="1" x14ac:dyDescent="0.25">
      <c r="A73" s="30" t="s">
        <v>152</v>
      </c>
      <c r="B73" s="17" t="s">
        <v>1059</v>
      </c>
      <c r="C73" s="38" t="s">
        <v>150</v>
      </c>
      <c r="D73" s="9">
        <v>90</v>
      </c>
      <c r="E73" s="14" t="s">
        <v>122</v>
      </c>
      <c r="F73" s="41" t="s">
        <v>1244</v>
      </c>
      <c r="G73" s="11">
        <v>0.75763899999999995</v>
      </c>
      <c r="H73" s="9">
        <v>4</v>
      </c>
      <c r="I73" s="23" t="s">
        <v>1065</v>
      </c>
      <c r="J73" s="35">
        <v>-2</v>
      </c>
    </row>
    <row r="74" spans="1:14" x14ac:dyDescent="0.25">
      <c r="A74" s="25" t="s">
        <v>153</v>
      </c>
      <c r="B74" s="18" t="s">
        <v>1054</v>
      </c>
      <c r="C74" s="39" t="s">
        <v>154</v>
      </c>
      <c r="D74">
        <v>66</v>
      </c>
      <c r="E74" s="15" t="s">
        <v>155</v>
      </c>
      <c r="F74" s="42" t="s">
        <v>1243</v>
      </c>
      <c r="G74" s="12">
        <v>2.5445669999999998</v>
      </c>
      <c r="H74">
        <v>12</v>
      </c>
      <c r="K74">
        <f t="shared" ref="K74" si="33">COUNTIF(F74:F76,"t")</f>
        <v>1</v>
      </c>
    </row>
    <row r="75" spans="1:14" x14ac:dyDescent="0.25">
      <c r="A75" s="25" t="s">
        <v>156</v>
      </c>
      <c r="B75" s="18" t="s">
        <v>1054</v>
      </c>
      <c r="C75" s="39" t="s">
        <v>154</v>
      </c>
      <c r="D75">
        <v>66</v>
      </c>
      <c r="E75" s="15" t="s">
        <v>157</v>
      </c>
      <c r="F75" s="42" t="s">
        <v>1244</v>
      </c>
      <c r="G75" s="12">
        <v>1.8897600000000001</v>
      </c>
      <c r="H75">
        <v>12</v>
      </c>
    </row>
    <row r="76" spans="1:14" x14ac:dyDescent="0.25">
      <c r="A76" s="25" t="s">
        <v>158</v>
      </c>
      <c r="B76" s="18" t="s">
        <v>1054</v>
      </c>
      <c r="C76" s="39" t="s">
        <v>154</v>
      </c>
      <c r="D76">
        <v>66</v>
      </c>
      <c r="E76" s="15" t="s">
        <v>159</v>
      </c>
      <c r="F76" s="42" t="s">
        <v>1244</v>
      </c>
      <c r="G76" s="12">
        <v>1.8107629999999999</v>
      </c>
      <c r="H76">
        <v>11</v>
      </c>
    </row>
    <row r="77" spans="1:14" x14ac:dyDescent="0.25">
      <c r="A77" s="26" t="s">
        <v>160</v>
      </c>
      <c r="B77" s="18" t="s">
        <v>1055</v>
      </c>
      <c r="C77" s="39" t="s">
        <v>161</v>
      </c>
      <c r="D77">
        <v>83</v>
      </c>
      <c r="E77" s="15" t="s">
        <v>162</v>
      </c>
      <c r="F77" s="42" t="s">
        <v>1244</v>
      </c>
      <c r="G77" s="12">
        <v>2.2450389999999998</v>
      </c>
      <c r="H77">
        <v>11</v>
      </c>
      <c r="K77">
        <f t="shared" ref="K77" si="34">COUNTIF(F77:F79,"t")</f>
        <v>1</v>
      </c>
      <c r="L77">
        <f t="shared" ref="L77" si="35">K77-K74</f>
        <v>0</v>
      </c>
    </row>
    <row r="78" spans="1:14" x14ac:dyDescent="0.25">
      <c r="A78" s="26" t="s">
        <v>163</v>
      </c>
      <c r="B78" s="18" t="s">
        <v>1055</v>
      </c>
      <c r="C78" s="39" t="s">
        <v>161</v>
      </c>
      <c r="D78">
        <v>83</v>
      </c>
      <c r="E78" s="15" t="s">
        <v>164</v>
      </c>
      <c r="F78" s="42" t="s">
        <v>1244</v>
      </c>
      <c r="G78" s="12">
        <v>1.872708</v>
      </c>
      <c r="H78">
        <v>12</v>
      </c>
    </row>
    <row r="79" spans="1:14" x14ac:dyDescent="0.25">
      <c r="A79" s="26" t="s">
        <v>165</v>
      </c>
      <c r="B79" s="18" t="s">
        <v>1055</v>
      </c>
      <c r="C79" s="39" t="s">
        <v>161</v>
      </c>
      <c r="D79">
        <v>83</v>
      </c>
      <c r="E79" s="15" t="s">
        <v>166</v>
      </c>
      <c r="F79" s="42" t="s">
        <v>1243</v>
      </c>
      <c r="G79" s="12">
        <v>1.9613830000000001</v>
      </c>
      <c r="H79">
        <v>12</v>
      </c>
    </row>
    <row r="80" spans="1:14" x14ac:dyDescent="0.25">
      <c r="A80" s="27" t="s">
        <v>167</v>
      </c>
      <c r="B80" s="18" t="s">
        <v>1056</v>
      </c>
      <c r="C80" s="39" t="s">
        <v>168</v>
      </c>
      <c r="D80">
        <v>112</v>
      </c>
      <c r="E80" s="15" t="s">
        <v>169</v>
      </c>
      <c r="F80" s="42" t="s">
        <v>1244</v>
      </c>
      <c r="G80" s="12">
        <v>19.773548000000002</v>
      </c>
      <c r="H80">
        <v>7</v>
      </c>
      <c r="K80">
        <f t="shared" ref="K80" si="36">COUNTIF(F80:F82,"t")</f>
        <v>1</v>
      </c>
      <c r="L80">
        <f t="shared" ref="L80" si="37">K80-K74</f>
        <v>0</v>
      </c>
    </row>
    <row r="81" spans="1:14" x14ac:dyDescent="0.25">
      <c r="A81" s="27" t="s">
        <v>170</v>
      </c>
      <c r="B81" s="18" t="s">
        <v>1056</v>
      </c>
      <c r="C81" s="39" t="s">
        <v>171</v>
      </c>
      <c r="D81">
        <v>122</v>
      </c>
      <c r="E81" s="15" t="s">
        <v>172</v>
      </c>
      <c r="F81" s="42" t="s">
        <v>1244</v>
      </c>
      <c r="G81" s="12">
        <v>22.489626000000001</v>
      </c>
      <c r="H81">
        <v>11</v>
      </c>
    </row>
    <row r="82" spans="1:14" x14ac:dyDescent="0.25">
      <c r="A82" s="28" t="s">
        <v>173</v>
      </c>
      <c r="B82" s="17" t="s">
        <v>1056</v>
      </c>
      <c r="C82" s="38" t="s">
        <v>174</v>
      </c>
      <c r="D82" s="9">
        <v>108</v>
      </c>
      <c r="E82" s="14" t="s">
        <v>175</v>
      </c>
      <c r="F82" s="41" t="s">
        <v>1243</v>
      </c>
      <c r="G82" s="11">
        <v>19.886106999999999</v>
      </c>
      <c r="H82" s="9">
        <v>9</v>
      </c>
      <c r="I82" s="20"/>
      <c r="J82" s="35"/>
      <c r="K82" s="9"/>
      <c r="L82" s="9"/>
      <c r="M82" s="9"/>
      <c r="N82" s="9"/>
    </row>
    <row r="83" spans="1:14" x14ac:dyDescent="0.25">
      <c r="A83" s="29" t="s">
        <v>176</v>
      </c>
      <c r="B83" s="18" t="s">
        <v>1057</v>
      </c>
      <c r="C83" s="39" t="s">
        <v>177</v>
      </c>
      <c r="D83">
        <v>82</v>
      </c>
      <c r="E83" s="15" t="s">
        <v>178</v>
      </c>
      <c r="F83" s="42" t="s">
        <v>1243</v>
      </c>
      <c r="G83" s="12">
        <v>2.2773539999999999</v>
      </c>
      <c r="H83">
        <v>11</v>
      </c>
      <c r="I83" s="22" t="s">
        <v>1066</v>
      </c>
      <c r="J83" s="36">
        <v>1</v>
      </c>
      <c r="K83">
        <f t="shared" ref="K83" si="38">COUNTIF(F83:F85,"t")</f>
        <v>3</v>
      </c>
      <c r="L83">
        <f t="shared" ref="L83" si="39">K83-K74</f>
        <v>2</v>
      </c>
    </row>
    <row r="84" spans="1:14" x14ac:dyDescent="0.25">
      <c r="A84" s="29" t="s">
        <v>179</v>
      </c>
      <c r="B84" s="18" t="s">
        <v>1057</v>
      </c>
      <c r="C84" s="39" t="s">
        <v>177</v>
      </c>
      <c r="D84">
        <v>82</v>
      </c>
      <c r="E84" s="15" t="s">
        <v>180</v>
      </c>
      <c r="F84" s="42" t="s">
        <v>1243</v>
      </c>
      <c r="G84" s="12">
        <v>14.376486999999999</v>
      </c>
      <c r="H84">
        <v>72</v>
      </c>
      <c r="I84" s="22" t="s">
        <v>1066</v>
      </c>
      <c r="J84" s="36">
        <v>1</v>
      </c>
    </row>
    <row r="85" spans="1:14" x14ac:dyDescent="0.25">
      <c r="A85" s="30" t="s">
        <v>181</v>
      </c>
      <c r="B85" s="17" t="s">
        <v>1057</v>
      </c>
      <c r="C85" s="38" t="s">
        <v>177</v>
      </c>
      <c r="D85" s="9">
        <v>82</v>
      </c>
      <c r="E85" s="14" t="s">
        <v>182</v>
      </c>
      <c r="F85" s="41" t="s">
        <v>1243</v>
      </c>
      <c r="G85" s="11">
        <v>17.345047999999998</v>
      </c>
      <c r="H85" s="9">
        <v>87</v>
      </c>
      <c r="I85" s="23" t="s">
        <v>1066</v>
      </c>
      <c r="J85" s="35">
        <v>1</v>
      </c>
      <c r="K85" s="9"/>
      <c r="L85" s="9"/>
      <c r="M85" s="9"/>
      <c r="N85" s="9"/>
    </row>
    <row r="86" spans="1:14" x14ac:dyDescent="0.25">
      <c r="A86" s="31" t="s">
        <v>183</v>
      </c>
      <c r="B86" s="19" t="s">
        <v>1058</v>
      </c>
      <c r="C86" s="40" t="s">
        <v>184</v>
      </c>
      <c r="D86" s="10">
        <v>81</v>
      </c>
      <c r="E86" s="16" t="s">
        <v>155</v>
      </c>
      <c r="F86" s="43" t="s">
        <v>1243</v>
      </c>
      <c r="G86" s="13">
        <v>4.0311890000000004</v>
      </c>
      <c r="H86" s="10">
        <v>12</v>
      </c>
      <c r="I86" s="24" t="s">
        <v>1064</v>
      </c>
      <c r="J86" s="37">
        <v>2</v>
      </c>
      <c r="K86">
        <f t="shared" ref="K86" si="40">COUNTIF(F86:F88,"t")</f>
        <v>3</v>
      </c>
      <c r="L86" s="10">
        <f t="shared" ref="L86" si="41">K86-K74</f>
        <v>2</v>
      </c>
      <c r="M86" s="10"/>
      <c r="N86" s="10"/>
    </row>
    <row r="87" spans="1:14" x14ac:dyDescent="0.25">
      <c r="A87" s="29" t="s">
        <v>185</v>
      </c>
      <c r="B87" s="18" t="s">
        <v>1058</v>
      </c>
      <c r="C87" s="39" t="s">
        <v>184</v>
      </c>
      <c r="D87">
        <v>81</v>
      </c>
      <c r="E87" s="15" t="s">
        <v>155</v>
      </c>
      <c r="F87" s="42" t="s">
        <v>1243</v>
      </c>
      <c r="G87" s="12">
        <v>1.83365</v>
      </c>
      <c r="H87">
        <v>12</v>
      </c>
      <c r="I87" s="22" t="s">
        <v>1064</v>
      </c>
      <c r="J87" s="36">
        <v>2</v>
      </c>
    </row>
    <row r="88" spans="1:14" x14ac:dyDescent="0.25">
      <c r="A88" s="30" t="s">
        <v>186</v>
      </c>
      <c r="B88" s="17" t="s">
        <v>1058</v>
      </c>
      <c r="C88" s="38" t="s">
        <v>184</v>
      </c>
      <c r="D88" s="9">
        <v>81</v>
      </c>
      <c r="E88" s="14" t="s">
        <v>187</v>
      </c>
      <c r="F88" s="41" t="s">
        <v>1243</v>
      </c>
      <c r="G88" s="11">
        <v>2.1798030000000002</v>
      </c>
      <c r="H88" s="9">
        <v>13</v>
      </c>
      <c r="I88" s="23" t="s">
        <v>1064</v>
      </c>
      <c r="J88" s="35">
        <v>2</v>
      </c>
      <c r="K88" s="9"/>
      <c r="L88" s="9"/>
      <c r="M88" s="9"/>
      <c r="N88" s="9"/>
    </row>
    <row r="89" spans="1:14" x14ac:dyDescent="0.25">
      <c r="A89" s="29" t="s">
        <v>188</v>
      </c>
      <c r="B89" s="18" t="s">
        <v>1059</v>
      </c>
      <c r="C89" s="39" t="s">
        <v>189</v>
      </c>
      <c r="D89">
        <v>75</v>
      </c>
      <c r="E89" s="15" t="s">
        <v>190</v>
      </c>
      <c r="F89" s="42" t="s">
        <v>1244</v>
      </c>
      <c r="G89" s="12">
        <v>8.2418060000000004</v>
      </c>
      <c r="H89">
        <v>39</v>
      </c>
      <c r="I89" s="22" t="s">
        <v>1240</v>
      </c>
      <c r="J89" s="36">
        <v>0</v>
      </c>
      <c r="K89">
        <f t="shared" ref="K89" si="42">COUNTIF(F89:F91,"t")</f>
        <v>1</v>
      </c>
      <c r="L89">
        <f t="shared" ref="L89" si="43">K89-K74</f>
        <v>0</v>
      </c>
    </row>
    <row r="90" spans="1:14" x14ac:dyDescent="0.25">
      <c r="A90" s="29" t="s">
        <v>191</v>
      </c>
      <c r="B90" s="18" t="s">
        <v>1059</v>
      </c>
      <c r="C90" s="39" t="s">
        <v>189</v>
      </c>
      <c r="D90">
        <v>75</v>
      </c>
      <c r="E90" s="15" t="s">
        <v>192</v>
      </c>
      <c r="F90" s="42" t="s">
        <v>1244</v>
      </c>
      <c r="G90" s="12">
        <v>2.386209</v>
      </c>
      <c r="H90">
        <v>13</v>
      </c>
      <c r="I90" s="22" t="s">
        <v>1240</v>
      </c>
      <c r="J90" s="36">
        <v>0</v>
      </c>
    </row>
    <row r="91" spans="1:14" s="9" customFormat="1" x14ac:dyDescent="0.25">
      <c r="A91" s="30" t="s">
        <v>193</v>
      </c>
      <c r="B91" s="17" t="s">
        <v>1059</v>
      </c>
      <c r="C91" s="38" t="s">
        <v>189</v>
      </c>
      <c r="D91" s="9">
        <v>75</v>
      </c>
      <c r="E91" s="14" t="s">
        <v>178</v>
      </c>
      <c r="F91" s="41" t="s">
        <v>1243</v>
      </c>
      <c r="G91" s="11">
        <v>2.1183990000000001</v>
      </c>
      <c r="H91" s="9">
        <v>11</v>
      </c>
      <c r="I91" s="23" t="s">
        <v>1240</v>
      </c>
      <c r="J91" s="35">
        <v>0</v>
      </c>
    </row>
    <row r="92" spans="1:14" x14ac:dyDescent="0.25">
      <c r="A92" s="25" t="s">
        <v>194</v>
      </c>
      <c r="B92" s="18" t="s">
        <v>1054</v>
      </c>
      <c r="C92" s="39" t="s">
        <v>195</v>
      </c>
      <c r="D92">
        <v>57</v>
      </c>
      <c r="E92" s="15" t="s">
        <v>196</v>
      </c>
      <c r="F92" s="42" t="s">
        <v>1244</v>
      </c>
      <c r="G92" s="12">
        <v>4.0732400000000002</v>
      </c>
      <c r="H92">
        <v>22</v>
      </c>
      <c r="K92">
        <f t="shared" ref="K92" si="44">COUNTIF(F92:F94,"t")</f>
        <v>0</v>
      </c>
    </row>
    <row r="93" spans="1:14" x14ac:dyDescent="0.25">
      <c r="A93" s="25" t="s">
        <v>197</v>
      </c>
      <c r="B93" s="18" t="s">
        <v>1054</v>
      </c>
      <c r="C93" s="39" t="s">
        <v>195</v>
      </c>
      <c r="D93">
        <v>57</v>
      </c>
      <c r="E93" s="15" t="s">
        <v>198</v>
      </c>
      <c r="F93" s="42" t="s">
        <v>1244</v>
      </c>
      <c r="G93" s="12">
        <v>9.7653850000000002</v>
      </c>
      <c r="H93">
        <v>46</v>
      </c>
    </row>
    <row r="94" spans="1:14" x14ac:dyDescent="0.25">
      <c r="A94" s="25" t="s">
        <v>199</v>
      </c>
      <c r="B94" s="18" t="s">
        <v>1054</v>
      </c>
      <c r="C94" s="39" t="s">
        <v>195</v>
      </c>
      <c r="D94">
        <v>57</v>
      </c>
      <c r="E94" s="15" t="s">
        <v>200</v>
      </c>
      <c r="F94" s="42" t="s">
        <v>1244</v>
      </c>
      <c r="G94" s="12">
        <v>11.816355</v>
      </c>
      <c r="H94">
        <v>60</v>
      </c>
    </row>
    <row r="95" spans="1:14" x14ac:dyDescent="0.25">
      <c r="A95" s="26" t="s">
        <v>201</v>
      </c>
      <c r="B95" s="18" t="s">
        <v>1055</v>
      </c>
      <c r="C95" s="39" t="s">
        <v>202</v>
      </c>
      <c r="D95">
        <v>66</v>
      </c>
      <c r="E95" s="15" t="s">
        <v>203</v>
      </c>
      <c r="F95" s="42" t="s">
        <v>1244</v>
      </c>
      <c r="G95" s="12">
        <v>7.2676369999999997</v>
      </c>
      <c r="H95">
        <v>36</v>
      </c>
      <c r="K95">
        <f t="shared" ref="K95" si="45">COUNTIF(F95:F97,"t")</f>
        <v>0</v>
      </c>
      <c r="L95">
        <f t="shared" ref="L95" si="46">K95-K92</f>
        <v>0</v>
      </c>
    </row>
    <row r="96" spans="1:14" x14ac:dyDescent="0.25">
      <c r="A96" s="26" t="s">
        <v>204</v>
      </c>
      <c r="B96" s="18" t="s">
        <v>1055</v>
      </c>
      <c r="C96" s="39" t="s">
        <v>202</v>
      </c>
      <c r="D96">
        <v>66</v>
      </c>
      <c r="E96" s="15" t="s">
        <v>205</v>
      </c>
      <c r="F96" s="42" t="s">
        <v>1244</v>
      </c>
      <c r="G96" s="12">
        <v>4.0279489999999996</v>
      </c>
      <c r="H96">
        <v>21</v>
      </c>
    </row>
    <row r="97" spans="1:14" x14ac:dyDescent="0.25">
      <c r="A97" s="26" t="s">
        <v>206</v>
      </c>
      <c r="B97" s="18" t="s">
        <v>1055</v>
      </c>
      <c r="C97" s="39" t="s">
        <v>202</v>
      </c>
      <c r="D97">
        <v>66</v>
      </c>
      <c r="E97" s="15" t="s">
        <v>207</v>
      </c>
      <c r="F97" s="42" t="s">
        <v>1244</v>
      </c>
      <c r="G97" s="12">
        <v>6.688307</v>
      </c>
      <c r="H97">
        <v>34</v>
      </c>
    </row>
    <row r="98" spans="1:14" x14ac:dyDescent="0.25">
      <c r="A98" s="27" t="s">
        <v>208</v>
      </c>
      <c r="B98" s="18" t="s">
        <v>1056</v>
      </c>
      <c r="C98" s="39" t="s">
        <v>209</v>
      </c>
      <c r="D98">
        <v>103</v>
      </c>
      <c r="E98" s="15" t="s">
        <v>210</v>
      </c>
      <c r="F98" s="42" t="s">
        <v>1244</v>
      </c>
      <c r="G98" s="12">
        <v>18.301743999999999</v>
      </c>
      <c r="H98">
        <v>4</v>
      </c>
      <c r="K98">
        <f t="shared" ref="K98" si="47">COUNTIF(F98:F100,"t")</f>
        <v>1</v>
      </c>
      <c r="L98">
        <f t="shared" ref="L98" si="48">K98-K92</f>
        <v>1</v>
      </c>
    </row>
    <row r="99" spans="1:14" x14ac:dyDescent="0.25">
      <c r="A99" s="27" t="s">
        <v>211</v>
      </c>
      <c r="B99" s="18" t="s">
        <v>1056</v>
      </c>
      <c r="C99" s="39" t="s">
        <v>212</v>
      </c>
      <c r="D99">
        <v>103</v>
      </c>
      <c r="E99" s="15" t="s">
        <v>213</v>
      </c>
      <c r="F99" s="42" t="s">
        <v>1243</v>
      </c>
      <c r="G99" s="12">
        <v>17.622308</v>
      </c>
      <c r="H99">
        <v>3</v>
      </c>
    </row>
    <row r="100" spans="1:14" x14ac:dyDescent="0.25">
      <c r="A100" s="28" t="s">
        <v>214</v>
      </c>
      <c r="B100" s="17" t="s">
        <v>1056</v>
      </c>
      <c r="C100" s="38" t="s">
        <v>215</v>
      </c>
      <c r="D100" s="9">
        <v>100</v>
      </c>
      <c r="E100" s="14" t="s">
        <v>216</v>
      </c>
      <c r="F100" s="41" t="s">
        <v>1244</v>
      </c>
      <c r="G100" s="11">
        <v>18.044955000000002</v>
      </c>
      <c r="H100" s="9">
        <v>3</v>
      </c>
      <c r="I100" s="20"/>
      <c r="J100" s="35"/>
      <c r="K100" s="9"/>
      <c r="L100" s="9"/>
      <c r="M100" s="9"/>
      <c r="N100" s="9"/>
    </row>
    <row r="101" spans="1:14" x14ac:dyDescent="0.25">
      <c r="A101" s="29" t="s">
        <v>217</v>
      </c>
      <c r="B101" s="18" t="s">
        <v>1057</v>
      </c>
      <c r="C101" s="39" t="s">
        <v>218</v>
      </c>
      <c r="D101">
        <v>75</v>
      </c>
      <c r="E101" s="15" t="s">
        <v>219</v>
      </c>
      <c r="F101" s="42" t="s">
        <v>1243</v>
      </c>
      <c r="G101" s="12">
        <v>12.852182000000001</v>
      </c>
      <c r="H101">
        <v>63</v>
      </c>
      <c r="I101" s="22" t="s">
        <v>1066</v>
      </c>
      <c r="J101" s="36">
        <v>1</v>
      </c>
      <c r="K101">
        <f t="shared" ref="K101" si="49">COUNTIF(F101:F103,"t")</f>
        <v>3</v>
      </c>
      <c r="L101">
        <f t="shared" ref="L101" si="50">K101-K92</f>
        <v>3</v>
      </c>
    </row>
    <row r="102" spans="1:14" x14ac:dyDescent="0.25">
      <c r="A102" s="29" t="s">
        <v>220</v>
      </c>
      <c r="B102" s="18" t="s">
        <v>1057</v>
      </c>
      <c r="C102" s="39" t="s">
        <v>218</v>
      </c>
      <c r="D102">
        <v>75</v>
      </c>
      <c r="E102" s="15" t="s">
        <v>221</v>
      </c>
      <c r="F102" s="42" t="s">
        <v>1243</v>
      </c>
      <c r="G102" s="12">
        <v>5.3922429999999997</v>
      </c>
      <c r="H102">
        <v>24</v>
      </c>
      <c r="I102" s="22" t="s">
        <v>1066</v>
      </c>
      <c r="J102" s="36">
        <v>1</v>
      </c>
    </row>
    <row r="103" spans="1:14" x14ac:dyDescent="0.25">
      <c r="A103" s="30" t="s">
        <v>222</v>
      </c>
      <c r="B103" s="17" t="s">
        <v>1057</v>
      </c>
      <c r="C103" s="38" t="s">
        <v>218</v>
      </c>
      <c r="D103" s="9">
        <v>75</v>
      </c>
      <c r="E103" s="14" t="s">
        <v>223</v>
      </c>
      <c r="F103" s="41" t="s">
        <v>1243</v>
      </c>
      <c r="G103" s="11">
        <v>4.4317489999999999</v>
      </c>
      <c r="H103" s="9">
        <v>24</v>
      </c>
      <c r="I103" s="23" t="s">
        <v>1066</v>
      </c>
      <c r="J103" s="35">
        <v>1</v>
      </c>
      <c r="K103" s="9"/>
      <c r="L103" s="9"/>
      <c r="M103" s="9"/>
      <c r="N103" s="9"/>
    </row>
    <row r="104" spans="1:14" x14ac:dyDescent="0.25">
      <c r="A104" s="31" t="s">
        <v>224</v>
      </c>
      <c r="B104" s="19" t="s">
        <v>1058</v>
      </c>
      <c r="C104" s="40" t="s">
        <v>225</v>
      </c>
      <c r="D104" s="10">
        <v>65</v>
      </c>
      <c r="E104" s="16" t="s">
        <v>226</v>
      </c>
      <c r="F104" s="43" t="s">
        <v>1243</v>
      </c>
      <c r="G104" s="13">
        <v>3.8361160000000001</v>
      </c>
      <c r="H104" s="10">
        <v>10</v>
      </c>
      <c r="I104" s="24" t="s">
        <v>1239</v>
      </c>
      <c r="J104" s="37">
        <v>0</v>
      </c>
      <c r="K104">
        <f t="shared" ref="K104" si="51">COUNTIF(F104:F106,"t")</f>
        <v>1</v>
      </c>
      <c r="L104" s="10">
        <f t="shared" ref="L104" si="52">K104-K92</f>
        <v>1</v>
      </c>
      <c r="M104" s="10"/>
      <c r="N104" s="10"/>
    </row>
    <row r="105" spans="1:14" x14ac:dyDescent="0.25">
      <c r="A105" s="29" t="s">
        <v>227</v>
      </c>
      <c r="B105" s="18" t="s">
        <v>1058</v>
      </c>
      <c r="C105" s="39" t="s">
        <v>225</v>
      </c>
      <c r="D105">
        <v>65</v>
      </c>
      <c r="E105" s="15" t="s">
        <v>228</v>
      </c>
      <c r="F105" s="42" t="s">
        <v>1244</v>
      </c>
      <c r="G105" s="12">
        <v>7.9172459999999996</v>
      </c>
      <c r="H105">
        <v>41</v>
      </c>
      <c r="I105" s="22" t="s">
        <v>1239</v>
      </c>
      <c r="J105" s="36">
        <v>0</v>
      </c>
    </row>
    <row r="106" spans="1:14" x14ac:dyDescent="0.25">
      <c r="A106" s="30" t="s">
        <v>229</v>
      </c>
      <c r="B106" s="17" t="s">
        <v>1058</v>
      </c>
      <c r="C106" s="38" t="s">
        <v>225</v>
      </c>
      <c r="D106" s="9">
        <v>65</v>
      </c>
      <c r="E106" s="14" t="s">
        <v>230</v>
      </c>
      <c r="F106" s="41" t="s">
        <v>1244</v>
      </c>
      <c r="G106" s="11">
        <v>11.753764</v>
      </c>
      <c r="H106" s="9">
        <v>55</v>
      </c>
      <c r="I106" s="23" t="s">
        <v>1239</v>
      </c>
      <c r="J106" s="35">
        <v>0</v>
      </c>
      <c r="K106" s="9"/>
      <c r="L106" s="9"/>
      <c r="M106" s="9"/>
      <c r="N106" s="9"/>
    </row>
    <row r="107" spans="1:14" x14ac:dyDescent="0.25">
      <c r="A107" s="29" t="s">
        <v>231</v>
      </c>
      <c r="B107" s="18" t="s">
        <v>1059</v>
      </c>
      <c r="C107" s="39" t="s">
        <v>232</v>
      </c>
      <c r="D107">
        <v>72</v>
      </c>
      <c r="E107" s="15" t="s">
        <v>233</v>
      </c>
      <c r="F107" s="42" t="s">
        <v>1244</v>
      </c>
      <c r="G107" s="12">
        <v>17.601911999999999</v>
      </c>
      <c r="H107">
        <v>81</v>
      </c>
      <c r="I107" s="22" t="s">
        <v>1063</v>
      </c>
      <c r="J107" s="36">
        <v>-1</v>
      </c>
      <c r="K107">
        <f t="shared" ref="K107" si="53">COUNTIF(F107:F109,"t")</f>
        <v>1</v>
      </c>
      <c r="L107">
        <f t="shared" ref="L107" si="54">K107-K92</f>
        <v>1</v>
      </c>
    </row>
    <row r="108" spans="1:14" x14ac:dyDescent="0.25">
      <c r="A108" s="29" t="s">
        <v>234</v>
      </c>
      <c r="B108" s="18" t="s">
        <v>1059</v>
      </c>
      <c r="C108" s="39" t="s">
        <v>232</v>
      </c>
      <c r="D108">
        <v>72</v>
      </c>
      <c r="E108" s="15" t="s">
        <v>235</v>
      </c>
      <c r="F108" s="42" t="s">
        <v>1243</v>
      </c>
      <c r="G108" s="12">
        <v>14.831483</v>
      </c>
      <c r="H108">
        <v>71</v>
      </c>
      <c r="I108" s="22" t="s">
        <v>1063</v>
      </c>
      <c r="J108" s="36">
        <v>-1</v>
      </c>
    </row>
    <row r="109" spans="1:14" s="9" customFormat="1" x14ac:dyDescent="0.25">
      <c r="A109" s="30" t="s">
        <v>236</v>
      </c>
      <c r="B109" s="17" t="s">
        <v>1059</v>
      </c>
      <c r="C109" s="38" t="s">
        <v>232</v>
      </c>
      <c r="D109" s="9">
        <v>72</v>
      </c>
      <c r="E109" s="14" t="s">
        <v>237</v>
      </c>
      <c r="F109" s="41" t="s">
        <v>1244</v>
      </c>
      <c r="G109" s="11">
        <v>20.47081</v>
      </c>
      <c r="H109" s="9">
        <v>96</v>
      </c>
      <c r="I109" s="23" t="s">
        <v>1063</v>
      </c>
      <c r="J109" s="35">
        <v>-1</v>
      </c>
    </row>
    <row r="110" spans="1:14" x14ac:dyDescent="0.25">
      <c r="A110" s="25" t="s">
        <v>238</v>
      </c>
      <c r="B110" s="18" t="s">
        <v>1054</v>
      </c>
      <c r="C110" s="39" t="s">
        <v>239</v>
      </c>
      <c r="D110">
        <v>72</v>
      </c>
      <c r="E110" s="15" t="s">
        <v>240</v>
      </c>
      <c r="F110" s="42" t="s">
        <v>1244</v>
      </c>
      <c r="G110" s="12">
        <v>1.2859670000000001</v>
      </c>
      <c r="H110">
        <v>4</v>
      </c>
      <c r="K110">
        <f t="shared" ref="K110" si="55">COUNTIF(F110:F112,"t")</f>
        <v>0</v>
      </c>
    </row>
    <row r="111" spans="1:14" x14ac:dyDescent="0.25">
      <c r="A111" s="25" t="s">
        <v>241</v>
      </c>
      <c r="B111" s="18" t="s">
        <v>1054</v>
      </c>
      <c r="C111" s="39" t="s">
        <v>239</v>
      </c>
      <c r="D111">
        <v>72</v>
      </c>
      <c r="E111" s="15" t="s">
        <v>240</v>
      </c>
      <c r="F111" s="42" t="s">
        <v>1244</v>
      </c>
      <c r="G111" s="12">
        <v>0.58319799999999999</v>
      </c>
      <c r="H111">
        <v>4</v>
      </c>
    </row>
    <row r="112" spans="1:14" x14ac:dyDescent="0.25">
      <c r="A112" s="25" t="s">
        <v>242</v>
      </c>
      <c r="B112" s="18" t="s">
        <v>1054</v>
      </c>
      <c r="C112" s="39" t="s">
        <v>239</v>
      </c>
      <c r="D112">
        <v>72</v>
      </c>
      <c r="E112" s="15" t="s">
        <v>240</v>
      </c>
      <c r="F112" s="42" t="s">
        <v>1244</v>
      </c>
      <c r="G112" s="12">
        <v>0.57854799999999995</v>
      </c>
      <c r="H112">
        <v>4</v>
      </c>
    </row>
    <row r="113" spans="1:14" x14ac:dyDescent="0.25">
      <c r="A113" s="26" t="s">
        <v>243</v>
      </c>
      <c r="B113" s="18" t="s">
        <v>1055</v>
      </c>
      <c r="C113" s="39" t="s">
        <v>244</v>
      </c>
      <c r="D113">
        <v>93</v>
      </c>
      <c r="E113" s="15" t="s">
        <v>240</v>
      </c>
      <c r="F113" s="42" t="s">
        <v>1244</v>
      </c>
      <c r="G113" s="12">
        <v>1.3527210000000001</v>
      </c>
      <c r="H113">
        <v>4</v>
      </c>
      <c r="K113">
        <f t="shared" ref="K113" si="56">COUNTIF(F113:F115,"t")</f>
        <v>0</v>
      </c>
      <c r="L113">
        <f t="shared" ref="L113" si="57">K113-K110</f>
        <v>0</v>
      </c>
    </row>
    <row r="114" spans="1:14" x14ac:dyDescent="0.25">
      <c r="A114" s="26" t="s">
        <v>245</v>
      </c>
      <c r="B114" s="18" t="s">
        <v>1055</v>
      </c>
      <c r="C114" s="39" t="s">
        <v>244</v>
      </c>
      <c r="D114">
        <v>93</v>
      </c>
      <c r="E114" s="15" t="s">
        <v>246</v>
      </c>
      <c r="F114" s="42" t="s">
        <v>1244</v>
      </c>
      <c r="G114" s="12">
        <v>0.88797499999999996</v>
      </c>
      <c r="H114">
        <v>6</v>
      </c>
    </row>
    <row r="115" spans="1:14" x14ac:dyDescent="0.25">
      <c r="A115" s="26" t="s">
        <v>247</v>
      </c>
      <c r="B115" s="18" t="s">
        <v>1055</v>
      </c>
      <c r="C115" s="39" t="s">
        <v>244</v>
      </c>
      <c r="D115">
        <v>93</v>
      </c>
      <c r="E115" s="15" t="s">
        <v>240</v>
      </c>
      <c r="F115" s="42" t="s">
        <v>1244</v>
      </c>
      <c r="G115" s="12">
        <v>0.57036900000000001</v>
      </c>
      <c r="H115">
        <v>4</v>
      </c>
    </row>
    <row r="116" spans="1:14" x14ac:dyDescent="0.25">
      <c r="A116" s="27" t="s">
        <v>248</v>
      </c>
      <c r="B116" s="18" t="s">
        <v>1056</v>
      </c>
      <c r="C116" s="39" t="s">
        <v>249</v>
      </c>
      <c r="D116">
        <v>117</v>
      </c>
      <c r="E116" s="15" t="s">
        <v>250</v>
      </c>
      <c r="F116" s="42" t="s">
        <v>1243</v>
      </c>
      <c r="G116" s="12">
        <v>21.676437</v>
      </c>
      <c r="H116">
        <v>4</v>
      </c>
      <c r="K116">
        <f t="shared" ref="K116" si="58">COUNTIF(F116:F118,"t")</f>
        <v>2</v>
      </c>
      <c r="L116">
        <f t="shared" ref="L116" si="59">K116-K110</f>
        <v>2</v>
      </c>
    </row>
    <row r="117" spans="1:14" x14ac:dyDescent="0.25">
      <c r="A117" s="27" t="s">
        <v>251</v>
      </c>
      <c r="B117" s="18" t="s">
        <v>1056</v>
      </c>
      <c r="C117" s="39" t="s">
        <v>252</v>
      </c>
      <c r="D117">
        <v>96</v>
      </c>
      <c r="E117" s="15" t="s">
        <v>240</v>
      </c>
      <c r="F117" s="42" t="s">
        <v>1244</v>
      </c>
      <c r="G117" s="12">
        <v>17.091716999999999</v>
      </c>
      <c r="H117">
        <v>4</v>
      </c>
    </row>
    <row r="118" spans="1:14" x14ac:dyDescent="0.25">
      <c r="A118" s="28" t="s">
        <v>253</v>
      </c>
      <c r="B118" s="17" t="s">
        <v>1056</v>
      </c>
      <c r="C118" s="38" t="s">
        <v>254</v>
      </c>
      <c r="D118" s="9">
        <v>111</v>
      </c>
      <c r="E118" s="14" t="s">
        <v>250</v>
      </c>
      <c r="F118" s="41" t="s">
        <v>1243</v>
      </c>
      <c r="G118" s="11">
        <v>20.589887999999998</v>
      </c>
      <c r="H118" s="9">
        <v>4</v>
      </c>
      <c r="I118" s="20"/>
      <c r="J118" s="35"/>
      <c r="K118" s="9"/>
      <c r="L118" s="9"/>
      <c r="M118" s="9"/>
      <c r="N118" s="9"/>
    </row>
    <row r="119" spans="1:14" x14ac:dyDescent="0.25">
      <c r="A119" s="29" t="s">
        <v>255</v>
      </c>
      <c r="B119" s="18" t="s">
        <v>1057</v>
      </c>
      <c r="C119" s="39" t="s">
        <v>256</v>
      </c>
      <c r="D119">
        <v>87</v>
      </c>
      <c r="E119" s="15" t="s">
        <v>257</v>
      </c>
      <c r="F119" s="42" t="s">
        <v>1243</v>
      </c>
      <c r="G119" s="12">
        <v>14.416001</v>
      </c>
      <c r="H119">
        <v>69</v>
      </c>
      <c r="I119" s="22" t="s">
        <v>1065</v>
      </c>
      <c r="J119" s="36">
        <v>-2</v>
      </c>
      <c r="K119">
        <f t="shared" ref="K119" si="60">COUNTIF(F119:F121,"t")</f>
        <v>2</v>
      </c>
      <c r="L119">
        <f t="shared" ref="L119" si="61">K119-K110</f>
        <v>2</v>
      </c>
    </row>
    <row r="120" spans="1:14" x14ac:dyDescent="0.25">
      <c r="A120" s="29" t="s">
        <v>258</v>
      </c>
      <c r="B120" s="18" t="s">
        <v>1057</v>
      </c>
      <c r="C120" s="39" t="s">
        <v>256</v>
      </c>
      <c r="D120">
        <v>87</v>
      </c>
      <c r="E120" s="15" t="s">
        <v>259</v>
      </c>
      <c r="F120" s="42" t="s">
        <v>1243</v>
      </c>
      <c r="G120" s="12">
        <v>9.3910079999999994</v>
      </c>
      <c r="H120">
        <v>48</v>
      </c>
      <c r="I120" s="22" t="s">
        <v>1065</v>
      </c>
      <c r="J120" s="36">
        <v>-2</v>
      </c>
    </row>
    <row r="121" spans="1:14" x14ac:dyDescent="0.25">
      <c r="A121" s="30" t="s">
        <v>260</v>
      </c>
      <c r="B121" s="17" t="s">
        <v>1057</v>
      </c>
      <c r="C121" s="38" t="s">
        <v>256</v>
      </c>
      <c r="D121" s="9">
        <v>87</v>
      </c>
      <c r="E121" s="14" t="s">
        <v>261</v>
      </c>
      <c r="F121" s="41" t="s">
        <v>1244</v>
      </c>
      <c r="G121" s="11">
        <v>3.3470040000000001</v>
      </c>
      <c r="H121" s="9">
        <v>16</v>
      </c>
      <c r="I121" s="23" t="s">
        <v>1065</v>
      </c>
      <c r="J121" s="35">
        <v>-2</v>
      </c>
      <c r="K121" s="9"/>
      <c r="L121" s="9"/>
      <c r="M121" s="9"/>
      <c r="N121" s="9"/>
    </row>
    <row r="122" spans="1:14" x14ac:dyDescent="0.25">
      <c r="A122" s="31" t="s">
        <v>262</v>
      </c>
      <c r="B122" s="19" t="s">
        <v>1058</v>
      </c>
      <c r="C122" s="40" t="s">
        <v>263</v>
      </c>
      <c r="D122" s="10">
        <v>85</v>
      </c>
      <c r="E122" s="16" t="s">
        <v>240</v>
      </c>
      <c r="F122" s="43" t="s">
        <v>1244</v>
      </c>
      <c r="G122" s="13">
        <v>2.9025569999999998</v>
      </c>
      <c r="H122" s="10">
        <v>4</v>
      </c>
      <c r="I122" s="24" t="s">
        <v>1063</v>
      </c>
      <c r="J122" s="37">
        <v>-2</v>
      </c>
      <c r="K122">
        <f t="shared" ref="K122" si="62">COUNTIF(F122:F124,"t")</f>
        <v>0</v>
      </c>
      <c r="L122" s="10">
        <f t="shared" ref="L122" si="63">K122-K110</f>
        <v>0</v>
      </c>
      <c r="M122" s="10"/>
      <c r="N122" s="10"/>
    </row>
    <row r="123" spans="1:14" x14ac:dyDescent="0.25">
      <c r="A123" s="29" t="s">
        <v>264</v>
      </c>
      <c r="B123" s="18" t="s">
        <v>1058</v>
      </c>
      <c r="C123" s="39" t="s">
        <v>263</v>
      </c>
      <c r="D123">
        <v>85</v>
      </c>
      <c r="E123" s="15" t="s">
        <v>240</v>
      </c>
      <c r="F123" s="42" t="s">
        <v>1244</v>
      </c>
      <c r="G123" s="12">
        <v>0.57587600000000005</v>
      </c>
      <c r="H123">
        <v>4</v>
      </c>
      <c r="I123" s="22" t="s">
        <v>1063</v>
      </c>
      <c r="J123" s="36">
        <v>-2</v>
      </c>
    </row>
    <row r="124" spans="1:14" x14ac:dyDescent="0.25">
      <c r="A124" s="30" t="s">
        <v>265</v>
      </c>
      <c r="B124" s="17" t="s">
        <v>1058</v>
      </c>
      <c r="C124" s="38" t="s">
        <v>263</v>
      </c>
      <c r="D124" s="9">
        <v>85</v>
      </c>
      <c r="E124" s="14" t="s">
        <v>240</v>
      </c>
      <c r="F124" s="41" t="s">
        <v>1244</v>
      </c>
      <c r="G124" s="11">
        <v>0.58959300000000003</v>
      </c>
      <c r="H124" s="9">
        <v>4</v>
      </c>
      <c r="I124" s="23" t="s">
        <v>1063</v>
      </c>
      <c r="J124" s="35">
        <v>-2</v>
      </c>
      <c r="K124" s="9"/>
      <c r="L124" s="9"/>
      <c r="M124" s="9"/>
      <c r="N124" s="9"/>
    </row>
    <row r="125" spans="1:14" x14ac:dyDescent="0.25">
      <c r="A125" s="29" t="s">
        <v>266</v>
      </c>
      <c r="B125" s="18" t="s">
        <v>1059</v>
      </c>
      <c r="C125" s="39" t="s">
        <v>267</v>
      </c>
      <c r="D125">
        <v>83</v>
      </c>
      <c r="E125" s="15" t="s">
        <v>268</v>
      </c>
      <c r="F125" s="42" t="s">
        <v>1243</v>
      </c>
      <c r="G125" s="12">
        <v>3.1517089999999999</v>
      </c>
      <c r="H125">
        <v>6</v>
      </c>
      <c r="I125" s="22" t="s">
        <v>1241</v>
      </c>
      <c r="J125" s="36">
        <v>1</v>
      </c>
      <c r="K125">
        <f t="shared" ref="K125" si="64">COUNTIF(F125:F127,"t")</f>
        <v>3</v>
      </c>
      <c r="L125">
        <f t="shared" ref="L125" si="65">K125-K110</f>
        <v>3</v>
      </c>
    </row>
    <row r="126" spans="1:14" x14ac:dyDescent="0.25">
      <c r="A126" s="29" t="s">
        <v>269</v>
      </c>
      <c r="B126" s="18" t="s">
        <v>1059</v>
      </c>
      <c r="C126" s="39" t="s">
        <v>267</v>
      </c>
      <c r="D126">
        <v>83</v>
      </c>
      <c r="E126" s="15" t="s">
        <v>250</v>
      </c>
      <c r="F126" s="42" t="s">
        <v>1243</v>
      </c>
      <c r="G126" s="12">
        <v>0.59787999999999997</v>
      </c>
      <c r="H126">
        <v>4</v>
      </c>
      <c r="I126" s="22" t="s">
        <v>1241</v>
      </c>
      <c r="J126" s="36">
        <v>1</v>
      </c>
    </row>
    <row r="127" spans="1:14" s="9" customFormat="1" x14ac:dyDescent="0.25">
      <c r="A127" s="30" t="s">
        <v>270</v>
      </c>
      <c r="B127" s="17" t="s">
        <v>1059</v>
      </c>
      <c r="C127" s="38" t="s">
        <v>267</v>
      </c>
      <c r="D127" s="9">
        <v>83</v>
      </c>
      <c r="E127" s="14" t="s">
        <v>271</v>
      </c>
      <c r="F127" s="41" t="s">
        <v>1243</v>
      </c>
      <c r="G127" s="11">
        <v>0.779617</v>
      </c>
      <c r="H127" s="9">
        <v>5</v>
      </c>
      <c r="I127" s="23" t="s">
        <v>1241</v>
      </c>
      <c r="J127" s="35">
        <v>1</v>
      </c>
    </row>
    <row r="128" spans="1:14" x14ac:dyDescent="0.25">
      <c r="A128" s="25" t="s">
        <v>272</v>
      </c>
      <c r="B128" s="18" t="s">
        <v>1054</v>
      </c>
      <c r="C128" s="39" t="s">
        <v>273</v>
      </c>
      <c r="D128">
        <v>60</v>
      </c>
      <c r="E128" s="15" t="s">
        <v>274</v>
      </c>
      <c r="F128" s="42" t="s">
        <v>1243</v>
      </c>
      <c r="G128" s="12">
        <v>1.7658309999999999</v>
      </c>
      <c r="H128">
        <v>7</v>
      </c>
      <c r="K128">
        <f t="shared" ref="K128" si="66">COUNTIF(F128:F130,"t")</f>
        <v>3</v>
      </c>
    </row>
    <row r="129" spans="1:14" x14ac:dyDescent="0.25">
      <c r="A129" s="25" t="s">
        <v>275</v>
      </c>
      <c r="B129" s="18" t="s">
        <v>1054</v>
      </c>
      <c r="C129" s="39" t="s">
        <v>273</v>
      </c>
      <c r="D129">
        <v>60</v>
      </c>
      <c r="E129" s="15" t="s">
        <v>274</v>
      </c>
      <c r="F129" s="42" t="s">
        <v>1243</v>
      </c>
      <c r="G129" s="12">
        <v>1.16873</v>
      </c>
      <c r="H129">
        <v>7</v>
      </c>
    </row>
    <row r="130" spans="1:14" x14ac:dyDescent="0.25">
      <c r="A130" s="25" t="s">
        <v>276</v>
      </c>
      <c r="B130" s="18" t="s">
        <v>1054</v>
      </c>
      <c r="C130" s="39" t="s">
        <v>273</v>
      </c>
      <c r="D130">
        <v>60</v>
      </c>
      <c r="E130" s="15" t="s">
        <v>274</v>
      </c>
      <c r="F130" s="42" t="s">
        <v>1243</v>
      </c>
      <c r="G130" s="12">
        <v>1.1487149999999999</v>
      </c>
      <c r="H130">
        <v>7</v>
      </c>
    </row>
    <row r="131" spans="1:14" x14ac:dyDescent="0.25">
      <c r="A131" s="26" t="s">
        <v>277</v>
      </c>
      <c r="B131" s="18" t="s">
        <v>1055</v>
      </c>
      <c r="C131" s="39" t="s">
        <v>278</v>
      </c>
      <c r="D131">
        <v>77</v>
      </c>
      <c r="E131" s="15" t="s">
        <v>279</v>
      </c>
      <c r="F131" s="42" t="s">
        <v>1243</v>
      </c>
      <c r="G131" s="12">
        <v>1.6162449999999999</v>
      </c>
      <c r="H131">
        <v>6</v>
      </c>
      <c r="K131">
        <f t="shared" ref="K131" si="67">COUNTIF(F131:F133,"t")</f>
        <v>3</v>
      </c>
      <c r="L131">
        <f t="shared" ref="L131" si="68">K131-K128</f>
        <v>0</v>
      </c>
    </row>
    <row r="132" spans="1:14" x14ac:dyDescent="0.25">
      <c r="A132" s="26" t="s">
        <v>280</v>
      </c>
      <c r="B132" s="18" t="s">
        <v>1055</v>
      </c>
      <c r="C132" s="39" t="s">
        <v>278</v>
      </c>
      <c r="D132">
        <v>77</v>
      </c>
      <c r="E132" s="15" t="s">
        <v>21</v>
      </c>
      <c r="F132" s="42" t="s">
        <v>1243</v>
      </c>
      <c r="G132" s="12">
        <v>0.41441</v>
      </c>
      <c r="H132">
        <v>3</v>
      </c>
    </row>
    <row r="133" spans="1:14" x14ac:dyDescent="0.25">
      <c r="A133" s="26" t="s">
        <v>281</v>
      </c>
      <c r="B133" s="18" t="s">
        <v>1055</v>
      </c>
      <c r="C133" s="39" t="s">
        <v>278</v>
      </c>
      <c r="D133">
        <v>77</v>
      </c>
      <c r="E133" s="15" t="s">
        <v>21</v>
      </c>
      <c r="F133" s="42" t="s">
        <v>1243</v>
      </c>
      <c r="G133" s="12">
        <v>0.40793499999999999</v>
      </c>
      <c r="H133">
        <v>3</v>
      </c>
    </row>
    <row r="134" spans="1:14" x14ac:dyDescent="0.25">
      <c r="A134" s="27" t="s">
        <v>282</v>
      </c>
      <c r="B134" s="18" t="s">
        <v>1056</v>
      </c>
      <c r="C134" s="39" t="s">
        <v>283</v>
      </c>
      <c r="D134">
        <v>93</v>
      </c>
      <c r="E134" s="15" t="s">
        <v>21</v>
      </c>
      <c r="F134" s="42" t="s">
        <v>1243</v>
      </c>
      <c r="G134" s="12">
        <v>16.504649000000001</v>
      </c>
      <c r="H134">
        <v>3</v>
      </c>
      <c r="K134">
        <f t="shared" ref="K134" si="69">COUNTIF(F134:F136,"t")</f>
        <v>3</v>
      </c>
      <c r="L134">
        <f t="shared" ref="L134" si="70">K134-K128</f>
        <v>0</v>
      </c>
    </row>
    <row r="135" spans="1:14" x14ac:dyDescent="0.25">
      <c r="A135" s="27" t="s">
        <v>284</v>
      </c>
      <c r="B135" s="18" t="s">
        <v>1056</v>
      </c>
      <c r="C135" s="39" t="s">
        <v>285</v>
      </c>
      <c r="D135">
        <v>90</v>
      </c>
      <c r="E135" s="15" t="s">
        <v>21</v>
      </c>
      <c r="F135" s="42" t="s">
        <v>1243</v>
      </c>
      <c r="G135" s="12">
        <v>15.872821999999999</v>
      </c>
      <c r="H135">
        <v>3</v>
      </c>
    </row>
    <row r="136" spans="1:14" x14ac:dyDescent="0.25">
      <c r="A136" s="28" t="s">
        <v>286</v>
      </c>
      <c r="B136" s="17" t="s">
        <v>1056</v>
      </c>
      <c r="C136" s="38" t="s">
        <v>287</v>
      </c>
      <c r="D136" s="9">
        <v>91</v>
      </c>
      <c r="E136" s="14" t="s">
        <v>288</v>
      </c>
      <c r="F136" s="41" t="s">
        <v>1243</v>
      </c>
      <c r="G136" s="11">
        <v>17.709194</v>
      </c>
      <c r="H136" s="9">
        <v>12</v>
      </c>
      <c r="I136" s="20"/>
      <c r="J136" s="35"/>
      <c r="K136" s="9"/>
      <c r="L136" s="9"/>
      <c r="M136" s="9"/>
      <c r="N136" s="9"/>
    </row>
    <row r="137" spans="1:14" x14ac:dyDescent="0.25">
      <c r="A137" s="29" t="s">
        <v>289</v>
      </c>
      <c r="B137" s="18" t="s">
        <v>1057</v>
      </c>
      <c r="C137" s="39" t="s">
        <v>290</v>
      </c>
      <c r="D137">
        <v>78</v>
      </c>
      <c r="E137" s="15" t="s">
        <v>291</v>
      </c>
      <c r="F137" s="42" t="s">
        <v>1243</v>
      </c>
      <c r="G137" s="12">
        <v>2.6525979999999998</v>
      </c>
      <c r="H137">
        <v>12</v>
      </c>
      <c r="I137" s="22" t="s">
        <v>1063</v>
      </c>
      <c r="J137" s="36">
        <v>1</v>
      </c>
      <c r="K137">
        <f t="shared" ref="K137" si="71">COUNTIF(F137:F139,"t")</f>
        <v>3</v>
      </c>
      <c r="L137">
        <f t="shared" ref="L137" si="72">K137-K128</f>
        <v>0</v>
      </c>
    </row>
    <row r="138" spans="1:14" x14ac:dyDescent="0.25">
      <c r="A138" s="29" t="s">
        <v>292</v>
      </c>
      <c r="B138" s="18" t="s">
        <v>1057</v>
      </c>
      <c r="C138" s="39" t="s">
        <v>290</v>
      </c>
      <c r="D138">
        <v>78</v>
      </c>
      <c r="E138" s="15" t="s">
        <v>274</v>
      </c>
      <c r="F138" s="42" t="s">
        <v>1243</v>
      </c>
      <c r="G138" s="12">
        <v>1.14059</v>
      </c>
      <c r="H138">
        <v>7</v>
      </c>
      <c r="I138" s="22" t="s">
        <v>1063</v>
      </c>
      <c r="J138" s="36">
        <v>1</v>
      </c>
    </row>
    <row r="139" spans="1:14" x14ac:dyDescent="0.25">
      <c r="A139" s="30" t="s">
        <v>293</v>
      </c>
      <c r="B139" s="17" t="s">
        <v>1057</v>
      </c>
      <c r="C139" s="38" t="s">
        <v>290</v>
      </c>
      <c r="D139" s="9">
        <v>78</v>
      </c>
      <c r="E139" s="14" t="s">
        <v>274</v>
      </c>
      <c r="F139" s="41" t="s">
        <v>1243</v>
      </c>
      <c r="G139" s="11">
        <v>1.1866429999999999</v>
      </c>
      <c r="H139" s="9">
        <v>7</v>
      </c>
      <c r="I139" s="23" t="s">
        <v>1063</v>
      </c>
      <c r="J139" s="35">
        <v>1</v>
      </c>
      <c r="K139" s="9"/>
      <c r="L139" s="9"/>
      <c r="M139" s="9"/>
      <c r="N139" s="9"/>
    </row>
    <row r="140" spans="1:14" x14ac:dyDescent="0.25">
      <c r="A140" s="31" t="s">
        <v>294</v>
      </c>
      <c r="B140" s="19" t="s">
        <v>1058</v>
      </c>
      <c r="C140" s="40" t="s">
        <v>295</v>
      </c>
      <c r="D140" s="10">
        <v>79</v>
      </c>
      <c r="E140" s="16" t="s">
        <v>274</v>
      </c>
      <c r="F140" s="43" t="s">
        <v>1243</v>
      </c>
      <c r="G140" s="13">
        <v>4.3647729999999996</v>
      </c>
      <c r="H140" s="10">
        <v>7</v>
      </c>
      <c r="I140" s="24" t="s">
        <v>1064</v>
      </c>
      <c r="J140" s="37">
        <v>2</v>
      </c>
      <c r="K140">
        <f t="shared" ref="K140" si="73">COUNTIF(F140:F142,"t")</f>
        <v>3</v>
      </c>
      <c r="L140" s="10">
        <f t="shared" ref="L140" si="74">K140-K128</f>
        <v>0</v>
      </c>
      <c r="M140" s="10"/>
      <c r="N140" s="10"/>
    </row>
    <row r="141" spans="1:14" x14ac:dyDescent="0.25">
      <c r="A141" s="29" t="s">
        <v>296</v>
      </c>
      <c r="B141" s="18" t="s">
        <v>1058</v>
      </c>
      <c r="C141" s="39" t="s">
        <v>295</v>
      </c>
      <c r="D141">
        <v>79</v>
      </c>
      <c r="E141" s="15" t="s">
        <v>274</v>
      </c>
      <c r="F141" s="42" t="s">
        <v>1243</v>
      </c>
      <c r="G141" s="12">
        <v>1.1147530000000001</v>
      </c>
      <c r="H141">
        <v>7</v>
      </c>
      <c r="I141" s="22" t="s">
        <v>1064</v>
      </c>
      <c r="J141" s="36">
        <v>2</v>
      </c>
    </row>
    <row r="142" spans="1:14" x14ac:dyDescent="0.25">
      <c r="A142" s="30" t="s">
        <v>297</v>
      </c>
      <c r="B142" s="17" t="s">
        <v>1058</v>
      </c>
      <c r="C142" s="38" t="s">
        <v>295</v>
      </c>
      <c r="D142" s="9">
        <v>79</v>
      </c>
      <c r="E142" s="14" t="s">
        <v>298</v>
      </c>
      <c r="F142" s="41" t="s">
        <v>1243</v>
      </c>
      <c r="G142" s="11">
        <v>8.3681400000000004</v>
      </c>
      <c r="H142" s="9">
        <v>43</v>
      </c>
      <c r="I142" s="23" t="s">
        <v>1064</v>
      </c>
      <c r="J142" s="35">
        <v>2</v>
      </c>
      <c r="K142" s="9"/>
      <c r="L142" s="9"/>
      <c r="M142" s="9"/>
      <c r="N142" s="9"/>
    </row>
    <row r="143" spans="1:14" x14ac:dyDescent="0.25">
      <c r="A143" s="29" t="s">
        <v>299</v>
      </c>
      <c r="B143" s="18" t="s">
        <v>1059</v>
      </c>
      <c r="C143" s="39" t="s">
        <v>300</v>
      </c>
      <c r="D143">
        <v>77</v>
      </c>
      <c r="E143" s="15" t="s">
        <v>274</v>
      </c>
      <c r="F143" s="42" t="s">
        <v>1243</v>
      </c>
      <c r="G143" s="12">
        <v>3.4933040000000002</v>
      </c>
      <c r="H143">
        <v>7</v>
      </c>
      <c r="I143" s="22" t="s">
        <v>1064</v>
      </c>
      <c r="J143" s="36">
        <v>2</v>
      </c>
      <c r="K143">
        <f t="shared" ref="K143" si="75">COUNTIF(F143:F145,"t")</f>
        <v>3</v>
      </c>
      <c r="L143">
        <f t="shared" ref="L143" si="76">K143-K128</f>
        <v>0</v>
      </c>
    </row>
    <row r="144" spans="1:14" x14ac:dyDescent="0.25">
      <c r="A144" s="29" t="s">
        <v>301</v>
      </c>
      <c r="B144" s="18" t="s">
        <v>1059</v>
      </c>
      <c r="C144" s="39" t="s">
        <v>300</v>
      </c>
      <c r="D144">
        <v>77</v>
      </c>
      <c r="E144" s="15" t="s">
        <v>302</v>
      </c>
      <c r="F144" s="42" t="s">
        <v>1243</v>
      </c>
      <c r="G144" s="12">
        <v>5.1674639999999998</v>
      </c>
      <c r="H144">
        <v>28</v>
      </c>
      <c r="I144" s="22" t="s">
        <v>1064</v>
      </c>
      <c r="J144" s="36">
        <v>2</v>
      </c>
    </row>
    <row r="145" spans="1:14" s="9" customFormat="1" x14ac:dyDescent="0.25">
      <c r="A145" s="30" t="s">
        <v>303</v>
      </c>
      <c r="B145" s="17" t="s">
        <v>1059</v>
      </c>
      <c r="C145" s="38" t="s">
        <v>300</v>
      </c>
      <c r="D145" s="9">
        <v>77</v>
      </c>
      <c r="E145" s="14" t="s">
        <v>304</v>
      </c>
      <c r="F145" s="41" t="s">
        <v>1243</v>
      </c>
      <c r="G145" s="11">
        <v>3.8733339999999998</v>
      </c>
      <c r="H145" s="9">
        <v>19</v>
      </c>
      <c r="I145" s="23" t="s">
        <v>1064</v>
      </c>
      <c r="J145" s="35">
        <v>2</v>
      </c>
    </row>
    <row r="146" spans="1:14" ht="15" customHeight="1" x14ac:dyDescent="0.25">
      <c r="A146" s="25" t="s">
        <v>305</v>
      </c>
      <c r="B146" s="18" t="s">
        <v>1054</v>
      </c>
      <c r="C146" s="68" t="s">
        <v>306</v>
      </c>
      <c r="D146">
        <v>58</v>
      </c>
      <c r="E146" s="15" t="s">
        <v>307</v>
      </c>
      <c r="F146" s="42" t="s">
        <v>1243</v>
      </c>
      <c r="G146" s="12">
        <v>2.1758250000000001</v>
      </c>
      <c r="H146">
        <v>9</v>
      </c>
      <c r="K146">
        <f t="shared" ref="K146" si="77">COUNTIF(F146:F148,"t")</f>
        <v>3</v>
      </c>
    </row>
    <row r="147" spans="1:14" x14ac:dyDescent="0.25">
      <c r="A147" s="25" t="s">
        <v>308</v>
      </c>
      <c r="B147" s="18" t="s">
        <v>1054</v>
      </c>
      <c r="C147" s="39" t="s">
        <v>306</v>
      </c>
      <c r="D147">
        <v>58</v>
      </c>
      <c r="E147" s="15" t="s">
        <v>309</v>
      </c>
      <c r="F147" s="42" t="s">
        <v>1243</v>
      </c>
      <c r="G147" s="12">
        <v>1.3185260000000001</v>
      </c>
      <c r="H147">
        <v>8</v>
      </c>
    </row>
    <row r="148" spans="1:14" x14ac:dyDescent="0.25">
      <c r="A148" s="25" t="s">
        <v>310</v>
      </c>
      <c r="B148" s="18" t="s">
        <v>1054</v>
      </c>
      <c r="C148" s="39" t="s">
        <v>306</v>
      </c>
      <c r="D148">
        <v>58</v>
      </c>
      <c r="E148" s="15" t="s">
        <v>311</v>
      </c>
      <c r="F148" s="42" t="s">
        <v>1243</v>
      </c>
      <c r="G148" s="12">
        <v>1.195916</v>
      </c>
      <c r="H148">
        <v>7</v>
      </c>
    </row>
    <row r="149" spans="1:14" x14ac:dyDescent="0.25">
      <c r="A149" s="26" t="s">
        <v>312</v>
      </c>
      <c r="B149" s="18" t="s">
        <v>1055</v>
      </c>
      <c r="C149" s="39" t="s">
        <v>313</v>
      </c>
      <c r="D149">
        <v>67</v>
      </c>
      <c r="E149" s="15" t="s">
        <v>314</v>
      </c>
      <c r="F149" s="42" t="s">
        <v>1243</v>
      </c>
      <c r="G149" s="12">
        <v>2.989217</v>
      </c>
      <c r="H149">
        <v>12</v>
      </c>
      <c r="K149">
        <f t="shared" ref="K149" si="78">COUNTIF(F149:F151,"t")</f>
        <v>3</v>
      </c>
      <c r="L149">
        <f t="shared" ref="L149" si="79">K149-K146</f>
        <v>0</v>
      </c>
    </row>
    <row r="150" spans="1:14" x14ac:dyDescent="0.25">
      <c r="A150" s="26" t="s">
        <v>315</v>
      </c>
      <c r="B150" s="18" t="s">
        <v>1055</v>
      </c>
      <c r="C150" s="39" t="s">
        <v>313</v>
      </c>
      <c r="D150">
        <v>67</v>
      </c>
      <c r="E150" s="15" t="s">
        <v>316</v>
      </c>
      <c r="F150" s="42" t="s">
        <v>1243</v>
      </c>
      <c r="G150" s="12">
        <v>1.760597</v>
      </c>
      <c r="H150">
        <v>10</v>
      </c>
    </row>
    <row r="151" spans="1:14" x14ac:dyDescent="0.25">
      <c r="A151" s="26" t="s">
        <v>317</v>
      </c>
      <c r="B151" s="18" t="s">
        <v>1055</v>
      </c>
      <c r="C151" s="39" t="s">
        <v>313</v>
      </c>
      <c r="D151">
        <v>67</v>
      </c>
      <c r="E151" s="15" t="s">
        <v>318</v>
      </c>
      <c r="F151" s="42" t="s">
        <v>1243</v>
      </c>
      <c r="G151" s="12">
        <v>2.273841</v>
      </c>
      <c r="H151">
        <v>12</v>
      </c>
    </row>
    <row r="152" spans="1:14" x14ac:dyDescent="0.25">
      <c r="A152" s="27" t="s">
        <v>319</v>
      </c>
      <c r="B152" s="18" t="s">
        <v>1056</v>
      </c>
      <c r="C152" s="39" t="s">
        <v>320</v>
      </c>
      <c r="D152">
        <v>77</v>
      </c>
      <c r="E152" s="15" t="s">
        <v>321</v>
      </c>
      <c r="F152" s="42" t="s">
        <v>1243</v>
      </c>
      <c r="G152" s="12">
        <v>15.099085000000001</v>
      </c>
      <c r="H152">
        <v>10</v>
      </c>
      <c r="K152">
        <f t="shared" ref="K152" si="80">COUNTIF(F152:F154,"t")</f>
        <v>3</v>
      </c>
      <c r="L152">
        <f t="shared" ref="L152" si="81">K152-K146</f>
        <v>0</v>
      </c>
    </row>
    <row r="153" spans="1:14" x14ac:dyDescent="0.25">
      <c r="A153" s="27" t="s">
        <v>322</v>
      </c>
      <c r="B153" s="18" t="s">
        <v>1056</v>
      </c>
      <c r="C153" s="39" t="s">
        <v>320</v>
      </c>
      <c r="D153">
        <v>77</v>
      </c>
      <c r="E153" s="15" t="s">
        <v>307</v>
      </c>
      <c r="F153" s="42" t="s">
        <v>1243</v>
      </c>
      <c r="G153" s="12">
        <v>14.510132</v>
      </c>
      <c r="H153">
        <v>9</v>
      </c>
    </row>
    <row r="154" spans="1:14" x14ac:dyDescent="0.25">
      <c r="A154" s="28" t="s">
        <v>323</v>
      </c>
      <c r="B154" s="17" t="s">
        <v>1056</v>
      </c>
      <c r="C154" s="38" t="s">
        <v>320</v>
      </c>
      <c r="D154" s="9">
        <v>77</v>
      </c>
      <c r="E154" s="14" t="s">
        <v>321</v>
      </c>
      <c r="F154" s="41" t="s">
        <v>1243</v>
      </c>
      <c r="G154" s="11">
        <v>13.300787</v>
      </c>
      <c r="H154" s="9">
        <v>10</v>
      </c>
      <c r="I154" s="20"/>
      <c r="J154" s="35"/>
      <c r="K154" s="9"/>
      <c r="L154" s="9"/>
      <c r="M154" s="9"/>
      <c r="N154" s="9"/>
    </row>
    <row r="155" spans="1:14" x14ac:dyDescent="0.25">
      <c r="A155" s="29" t="s">
        <v>324</v>
      </c>
      <c r="B155" s="18" t="s">
        <v>1057</v>
      </c>
      <c r="C155" s="39" t="s">
        <v>325</v>
      </c>
      <c r="D155">
        <v>69</v>
      </c>
      <c r="E155" s="15" t="s">
        <v>311</v>
      </c>
      <c r="F155" s="42" t="s">
        <v>1243</v>
      </c>
      <c r="G155" s="12">
        <v>1.585618</v>
      </c>
      <c r="H155">
        <v>7</v>
      </c>
      <c r="I155" s="22" t="s">
        <v>1063</v>
      </c>
      <c r="J155" s="36">
        <v>-1</v>
      </c>
      <c r="K155">
        <f t="shared" ref="K155" si="82">COUNTIF(F155:F157,"t")</f>
        <v>3</v>
      </c>
      <c r="L155">
        <f t="shared" ref="L155" si="83">K155-K146</f>
        <v>0</v>
      </c>
    </row>
    <row r="156" spans="1:14" x14ac:dyDescent="0.25">
      <c r="A156" s="29" t="s">
        <v>326</v>
      </c>
      <c r="B156" s="18" t="s">
        <v>1057</v>
      </c>
      <c r="C156" s="39" t="s">
        <v>325</v>
      </c>
      <c r="D156">
        <v>69</v>
      </c>
      <c r="E156" s="15" t="s">
        <v>327</v>
      </c>
      <c r="F156" s="42" t="s">
        <v>1243</v>
      </c>
      <c r="G156" s="12">
        <v>1.6322209999999999</v>
      </c>
      <c r="H156">
        <v>11</v>
      </c>
      <c r="I156" s="22" t="s">
        <v>1063</v>
      </c>
      <c r="J156" s="36">
        <v>-1</v>
      </c>
    </row>
    <row r="157" spans="1:14" x14ac:dyDescent="0.25">
      <c r="A157" s="30" t="s">
        <v>328</v>
      </c>
      <c r="B157" s="17" t="s">
        <v>1057</v>
      </c>
      <c r="C157" s="38" t="s">
        <v>325</v>
      </c>
      <c r="D157" s="9">
        <v>69</v>
      </c>
      <c r="E157" s="14" t="s">
        <v>307</v>
      </c>
      <c r="F157" s="41" t="s">
        <v>1243</v>
      </c>
      <c r="G157" s="11">
        <v>1.380223</v>
      </c>
      <c r="H157" s="9">
        <v>9</v>
      </c>
      <c r="I157" s="23" t="s">
        <v>1063</v>
      </c>
      <c r="J157" s="35">
        <v>-1</v>
      </c>
      <c r="K157" s="9"/>
      <c r="L157" s="9"/>
      <c r="M157" s="9"/>
      <c r="N157" s="9"/>
    </row>
    <row r="158" spans="1:14" x14ac:dyDescent="0.25">
      <c r="A158" s="31" t="s">
        <v>329</v>
      </c>
      <c r="B158" s="19" t="s">
        <v>1058</v>
      </c>
      <c r="C158" s="40" t="s">
        <v>330</v>
      </c>
      <c r="D158" s="10">
        <v>72</v>
      </c>
      <c r="E158" s="16" t="s">
        <v>321</v>
      </c>
      <c r="F158" s="43" t="s">
        <v>1243</v>
      </c>
      <c r="G158" s="13">
        <v>4.1493390000000003</v>
      </c>
      <c r="H158" s="10">
        <v>10</v>
      </c>
      <c r="I158" s="24" t="s">
        <v>1239</v>
      </c>
      <c r="J158" s="37">
        <v>0</v>
      </c>
      <c r="K158">
        <f t="shared" ref="K158" si="84">COUNTIF(F158:F160,"t")</f>
        <v>3</v>
      </c>
      <c r="L158" s="10">
        <f t="shared" ref="L158" si="85">K158-K146</f>
        <v>0</v>
      </c>
      <c r="M158" s="10"/>
      <c r="N158" s="10"/>
    </row>
    <row r="159" spans="1:14" x14ac:dyDescent="0.25">
      <c r="A159" s="29" t="s">
        <v>331</v>
      </c>
      <c r="B159" s="18" t="s">
        <v>1058</v>
      </c>
      <c r="C159" s="39" t="s">
        <v>330</v>
      </c>
      <c r="D159">
        <v>72</v>
      </c>
      <c r="E159" s="15" t="s">
        <v>332</v>
      </c>
      <c r="F159" s="42" t="s">
        <v>1243</v>
      </c>
      <c r="G159" s="12">
        <v>10.746181</v>
      </c>
      <c r="H159">
        <v>58</v>
      </c>
      <c r="I159" s="22" t="s">
        <v>1239</v>
      </c>
      <c r="J159" s="36">
        <v>0</v>
      </c>
    </row>
    <row r="160" spans="1:14" x14ac:dyDescent="0.25">
      <c r="A160" s="30" t="s">
        <v>333</v>
      </c>
      <c r="B160" s="17" t="s">
        <v>1058</v>
      </c>
      <c r="C160" s="38" t="s">
        <v>330</v>
      </c>
      <c r="D160" s="9">
        <v>72</v>
      </c>
      <c r="E160" s="14" t="s">
        <v>334</v>
      </c>
      <c r="F160" s="41" t="s">
        <v>1243</v>
      </c>
      <c r="G160" s="11">
        <v>15.116187999999999</v>
      </c>
      <c r="H160" s="9">
        <v>77</v>
      </c>
      <c r="I160" s="23" t="s">
        <v>1239</v>
      </c>
      <c r="J160" s="35">
        <v>0</v>
      </c>
      <c r="K160" s="9"/>
      <c r="L160" s="9"/>
      <c r="M160" s="9"/>
      <c r="N160" s="9"/>
    </row>
    <row r="161" spans="1:14" x14ac:dyDescent="0.25">
      <c r="A161" s="29" t="s">
        <v>335</v>
      </c>
      <c r="B161" s="18" t="s">
        <v>1059</v>
      </c>
      <c r="C161" s="39" t="s">
        <v>336</v>
      </c>
      <c r="D161">
        <v>74</v>
      </c>
      <c r="E161" s="15" t="s">
        <v>337</v>
      </c>
      <c r="F161" s="42" t="s">
        <v>1243</v>
      </c>
      <c r="G161" s="12">
        <v>10.793732</v>
      </c>
      <c r="H161">
        <v>48</v>
      </c>
      <c r="I161" s="22" t="s">
        <v>1242</v>
      </c>
      <c r="J161" s="36">
        <v>2</v>
      </c>
      <c r="K161">
        <f t="shared" ref="K161" si="86">COUNTIF(F161:F163,"t")</f>
        <v>3</v>
      </c>
      <c r="L161">
        <f t="shared" ref="L161" si="87">K161-K146</f>
        <v>0</v>
      </c>
    </row>
    <row r="162" spans="1:14" x14ac:dyDescent="0.25">
      <c r="A162" s="29" t="s">
        <v>338</v>
      </c>
      <c r="B162" s="18" t="s">
        <v>1059</v>
      </c>
      <c r="C162" s="39" t="s">
        <v>336</v>
      </c>
      <c r="D162">
        <v>74</v>
      </c>
      <c r="E162" s="15" t="s">
        <v>339</v>
      </c>
      <c r="F162" s="42" t="s">
        <v>1243</v>
      </c>
      <c r="G162" s="12">
        <v>7.5406170000000001</v>
      </c>
      <c r="H162">
        <v>39</v>
      </c>
      <c r="I162" s="22" t="s">
        <v>1242</v>
      </c>
      <c r="J162" s="36">
        <v>2</v>
      </c>
    </row>
    <row r="163" spans="1:14" s="9" customFormat="1" x14ac:dyDescent="0.25">
      <c r="A163" s="30" t="s">
        <v>340</v>
      </c>
      <c r="B163" s="17" t="s">
        <v>1059</v>
      </c>
      <c r="C163" s="38" t="s">
        <v>336</v>
      </c>
      <c r="D163" s="9">
        <v>74</v>
      </c>
      <c r="E163" s="14" t="s">
        <v>311</v>
      </c>
      <c r="F163" s="41" t="s">
        <v>1243</v>
      </c>
      <c r="G163" s="11">
        <v>1.246383</v>
      </c>
      <c r="H163" s="9">
        <v>7</v>
      </c>
      <c r="I163" s="23" t="s">
        <v>1242</v>
      </c>
      <c r="J163" s="35">
        <v>2</v>
      </c>
    </row>
    <row r="164" spans="1:14" x14ac:dyDescent="0.25">
      <c r="A164" s="25" t="s">
        <v>341</v>
      </c>
      <c r="B164" s="18" t="s">
        <v>1054</v>
      </c>
      <c r="C164" s="39" t="s">
        <v>342</v>
      </c>
      <c r="D164">
        <v>73</v>
      </c>
      <c r="E164" s="15" t="s">
        <v>343</v>
      </c>
      <c r="F164" s="42" t="s">
        <v>1243</v>
      </c>
      <c r="G164" s="12">
        <v>3.6510099999999999</v>
      </c>
      <c r="H164">
        <v>20</v>
      </c>
      <c r="K164">
        <f t="shared" ref="K164" si="88">COUNTIF(F164:F166,"t")</f>
        <v>3</v>
      </c>
    </row>
    <row r="165" spans="1:14" x14ac:dyDescent="0.25">
      <c r="A165" s="25" t="s">
        <v>344</v>
      </c>
      <c r="B165" s="18" t="s">
        <v>1054</v>
      </c>
      <c r="C165" s="39" t="s">
        <v>342</v>
      </c>
      <c r="D165">
        <v>73</v>
      </c>
      <c r="E165" s="15" t="s">
        <v>345</v>
      </c>
      <c r="F165" s="42" t="s">
        <v>1243</v>
      </c>
      <c r="G165" s="12">
        <v>1.7632270000000001</v>
      </c>
      <c r="H165">
        <v>11</v>
      </c>
    </row>
    <row r="166" spans="1:14" x14ac:dyDescent="0.25">
      <c r="A166" s="25" t="s">
        <v>346</v>
      </c>
      <c r="B166" s="18" t="s">
        <v>1054</v>
      </c>
      <c r="C166" s="39" t="s">
        <v>342</v>
      </c>
      <c r="D166">
        <v>73</v>
      </c>
      <c r="E166" s="15" t="s">
        <v>347</v>
      </c>
      <c r="F166" s="42" t="s">
        <v>1243</v>
      </c>
      <c r="G166" s="12">
        <v>2.5849639999999998</v>
      </c>
      <c r="H166">
        <v>15</v>
      </c>
    </row>
    <row r="167" spans="1:14" x14ac:dyDescent="0.25">
      <c r="A167" s="26" t="s">
        <v>348</v>
      </c>
      <c r="B167" s="18" t="s">
        <v>1055</v>
      </c>
      <c r="C167" s="39" t="s">
        <v>349</v>
      </c>
      <c r="D167">
        <v>97</v>
      </c>
      <c r="E167" s="15" t="s">
        <v>347</v>
      </c>
      <c r="F167" s="42" t="s">
        <v>1243</v>
      </c>
      <c r="G167" s="12">
        <v>2.8803100000000001</v>
      </c>
      <c r="H167">
        <v>15</v>
      </c>
      <c r="K167">
        <f t="shared" ref="K167" si="89">COUNTIF(F167:F169,"t")</f>
        <v>3</v>
      </c>
      <c r="L167">
        <f t="shared" ref="L167" si="90">K167-K164</f>
        <v>0</v>
      </c>
    </row>
    <row r="168" spans="1:14" x14ac:dyDescent="0.25">
      <c r="A168" s="26" t="s">
        <v>350</v>
      </c>
      <c r="B168" s="18" t="s">
        <v>1055</v>
      </c>
      <c r="C168" s="39" t="s">
        <v>349</v>
      </c>
      <c r="D168">
        <v>97</v>
      </c>
      <c r="E168" s="15" t="s">
        <v>347</v>
      </c>
      <c r="F168" s="42" t="s">
        <v>1243</v>
      </c>
      <c r="G168" s="12">
        <v>2.3381080000000001</v>
      </c>
      <c r="H168">
        <v>15</v>
      </c>
    </row>
    <row r="169" spans="1:14" x14ac:dyDescent="0.25">
      <c r="A169" s="26" t="s">
        <v>351</v>
      </c>
      <c r="B169" s="18" t="s">
        <v>1055</v>
      </c>
      <c r="C169" s="39" t="s">
        <v>349</v>
      </c>
      <c r="D169">
        <v>97</v>
      </c>
      <c r="E169" s="15" t="s">
        <v>345</v>
      </c>
      <c r="F169" s="42" t="s">
        <v>1243</v>
      </c>
      <c r="G169" s="12">
        <v>1.866587</v>
      </c>
      <c r="H169">
        <v>11</v>
      </c>
    </row>
    <row r="170" spans="1:14" x14ac:dyDescent="0.25">
      <c r="A170" s="27" t="s">
        <v>352</v>
      </c>
      <c r="B170" s="18" t="s">
        <v>1056</v>
      </c>
      <c r="C170" s="39" t="s">
        <v>353</v>
      </c>
      <c r="D170">
        <v>94</v>
      </c>
      <c r="E170" s="15" t="s">
        <v>354</v>
      </c>
      <c r="F170" s="42" t="s">
        <v>1243</v>
      </c>
      <c r="G170" s="12">
        <v>17.608281000000002</v>
      </c>
      <c r="H170">
        <v>16</v>
      </c>
      <c r="K170">
        <f t="shared" ref="K170" si="91">COUNTIF(F170:F172,"t")</f>
        <v>3</v>
      </c>
      <c r="L170">
        <f t="shared" ref="L170" si="92">K170-K164</f>
        <v>0</v>
      </c>
    </row>
    <row r="171" spans="1:14" x14ac:dyDescent="0.25">
      <c r="A171" s="27" t="s">
        <v>355</v>
      </c>
      <c r="B171" s="18" t="s">
        <v>1056</v>
      </c>
      <c r="C171" s="39" t="s">
        <v>353</v>
      </c>
      <c r="D171">
        <v>94</v>
      </c>
      <c r="E171" s="15" t="s">
        <v>356</v>
      </c>
      <c r="F171" s="42" t="s">
        <v>1243</v>
      </c>
      <c r="G171" s="12">
        <v>19.019715000000001</v>
      </c>
      <c r="H171">
        <v>26</v>
      </c>
    </row>
    <row r="172" spans="1:14" x14ac:dyDescent="0.25">
      <c r="A172" s="28" t="s">
        <v>357</v>
      </c>
      <c r="B172" s="17" t="s">
        <v>1056</v>
      </c>
      <c r="C172" s="38" t="s">
        <v>353</v>
      </c>
      <c r="D172" s="9">
        <v>94</v>
      </c>
      <c r="E172" s="14" t="s">
        <v>358</v>
      </c>
      <c r="F172" s="41" t="s">
        <v>1243</v>
      </c>
      <c r="G172" s="11">
        <v>18.258424000000002</v>
      </c>
      <c r="H172" s="9">
        <v>21</v>
      </c>
      <c r="I172" s="20"/>
      <c r="J172" s="35"/>
      <c r="K172" s="9"/>
      <c r="L172" s="9"/>
      <c r="M172" s="9"/>
      <c r="N172" s="9"/>
    </row>
    <row r="173" spans="1:14" x14ac:dyDescent="0.25">
      <c r="A173" s="29" t="s">
        <v>359</v>
      </c>
      <c r="B173" s="18" t="s">
        <v>1057</v>
      </c>
      <c r="C173" s="39" t="s">
        <v>360</v>
      </c>
      <c r="D173">
        <v>89</v>
      </c>
      <c r="E173" s="15" t="s">
        <v>361</v>
      </c>
      <c r="F173" s="42" t="s">
        <v>1243</v>
      </c>
      <c r="G173" s="12">
        <v>3.1965300000000001</v>
      </c>
      <c r="H173">
        <v>17</v>
      </c>
      <c r="I173" s="22" t="s">
        <v>1239</v>
      </c>
      <c r="J173" s="36">
        <v>1</v>
      </c>
      <c r="K173">
        <f t="shared" ref="K173" si="93">COUNTIF(F173:F175,"t")</f>
        <v>3</v>
      </c>
      <c r="L173">
        <f t="shared" ref="L173" si="94">K173-K164</f>
        <v>0</v>
      </c>
    </row>
    <row r="174" spans="1:14" x14ac:dyDescent="0.25">
      <c r="A174" s="29" t="s">
        <v>362</v>
      </c>
      <c r="B174" s="18" t="s">
        <v>1057</v>
      </c>
      <c r="C174" s="39" t="s">
        <v>360</v>
      </c>
      <c r="D174">
        <v>89</v>
      </c>
      <c r="E174" s="15" t="s">
        <v>343</v>
      </c>
      <c r="F174" s="42" t="s">
        <v>1243</v>
      </c>
      <c r="G174" s="12">
        <v>3.3337140000000001</v>
      </c>
      <c r="H174">
        <v>20</v>
      </c>
      <c r="I174" s="22" t="s">
        <v>1239</v>
      </c>
      <c r="J174" s="36">
        <v>1</v>
      </c>
    </row>
    <row r="175" spans="1:14" x14ac:dyDescent="0.25">
      <c r="A175" s="30" t="s">
        <v>363</v>
      </c>
      <c r="B175" s="17" t="s">
        <v>1057</v>
      </c>
      <c r="C175" s="38" t="s">
        <v>360</v>
      </c>
      <c r="D175" s="9">
        <v>89</v>
      </c>
      <c r="E175" s="14" t="s">
        <v>343</v>
      </c>
      <c r="F175" s="41" t="s">
        <v>1243</v>
      </c>
      <c r="G175" s="11">
        <v>3.7543129999999998</v>
      </c>
      <c r="H175" s="9">
        <v>20</v>
      </c>
      <c r="I175" s="23" t="s">
        <v>1239</v>
      </c>
      <c r="J175" s="35">
        <v>1</v>
      </c>
      <c r="K175" s="9"/>
      <c r="L175" s="9"/>
      <c r="M175" s="9"/>
      <c r="N175" s="9"/>
    </row>
    <row r="176" spans="1:14" x14ac:dyDescent="0.25">
      <c r="A176" s="31" t="s">
        <v>364</v>
      </c>
      <c r="B176" s="19" t="s">
        <v>1058</v>
      </c>
      <c r="C176" s="40" t="s">
        <v>365</v>
      </c>
      <c r="D176" s="10">
        <v>102</v>
      </c>
      <c r="E176" s="16" t="s">
        <v>343</v>
      </c>
      <c r="F176" s="43" t="s">
        <v>1243</v>
      </c>
      <c r="G176" s="13">
        <v>3.6596299999999999</v>
      </c>
      <c r="H176" s="10">
        <v>20</v>
      </c>
      <c r="I176" s="24" t="s">
        <v>1242</v>
      </c>
      <c r="J176" s="37">
        <v>1</v>
      </c>
      <c r="K176">
        <f t="shared" ref="K176" si="95">COUNTIF(F176:F178,"t")</f>
        <v>3</v>
      </c>
      <c r="L176" s="10">
        <f t="shared" ref="L176" si="96">K176-K164</f>
        <v>0</v>
      </c>
      <c r="M176" s="10"/>
      <c r="N176" s="10"/>
    </row>
    <row r="177" spans="1:14" x14ac:dyDescent="0.25">
      <c r="A177" s="29" t="s">
        <v>366</v>
      </c>
      <c r="B177" s="18" t="s">
        <v>1058</v>
      </c>
      <c r="C177" s="39" t="s">
        <v>365</v>
      </c>
      <c r="D177">
        <v>102</v>
      </c>
      <c r="E177" s="15" t="s">
        <v>343</v>
      </c>
      <c r="F177" s="42" t="s">
        <v>1243</v>
      </c>
      <c r="G177" s="12">
        <v>3.4015270000000002</v>
      </c>
      <c r="H177">
        <v>20</v>
      </c>
      <c r="I177" s="22" t="s">
        <v>1242</v>
      </c>
      <c r="J177" s="36">
        <v>1</v>
      </c>
    </row>
    <row r="178" spans="1:14" x14ac:dyDescent="0.25">
      <c r="A178" s="30" t="s">
        <v>367</v>
      </c>
      <c r="B178" s="17" t="s">
        <v>1058</v>
      </c>
      <c r="C178" s="38" t="s">
        <v>365</v>
      </c>
      <c r="D178" s="9">
        <v>102</v>
      </c>
      <c r="E178" s="14" t="s">
        <v>343</v>
      </c>
      <c r="F178" s="41" t="s">
        <v>1243</v>
      </c>
      <c r="G178" s="11">
        <v>3.8257469999999998</v>
      </c>
      <c r="H178" s="9">
        <v>20</v>
      </c>
      <c r="I178" s="23" t="s">
        <v>1242</v>
      </c>
      <c r="J178" s="35">
        <v>1</v>
      </c>
      <c r="K178" s="9"/>
      <c r="L178" s="9"/>
      <c r="M178" s="9"/>
      <c r="N178" s="9"/>
    </row>
    <row r="179" spans="1:14" x14ac:dyDescent="0.25">
      <c r="A179" s="29" t="s">
        <v>368</v>
      </c>
      <c r="B179" s="18" t="s">
        <v>1059</v>
      </c>
      <c r="C179" s="39" t="s">
        <v>369</v>
      </c>
      <c r="D179">
        <v>85</v>
      </c>
      <c r="E179" s="15" t="s">
        <v>370</v>
      </c>
      <c r="F179" s="42" t="s">
        <v>1243</v>
      </c>
      <c r="G179" s="12">
        <v>5.3143580000000004</v>
      </c>
      <c r="H179">
        <v>19</v>
      </c>
      <c r="I179" s="22" t="s">
        <v>1241</v>
      </c>
      <c r="J179" s="36">
        <v>1</v>
      </c>
      <c r="K179">
        <f t="shared" ref="K179" si="97">COUNTIF(F179:F181,"t")</f>
        <v>3</v>
      </c>
      <c r="L179">
        <f t="shared" ref="L179" si="98">K179-K164</f>
        <v>0</v>
      </c>
    </row>
    <row r="180" spans="1:14" x14ac:dyDescent="0.25">
      <c r="A180" s="29" t="s">
        <v>371</v>
      </c>
      <c r="B180" s="18" t="s">
        <v>1059</v>
      </c>
      <c r="C180" s="39" t="s">
        <v>369</v>
      </c>
      <c r="D180">
        <v>85</v>
      </c>
      <c r="E180" s="15" t="s">
        <v>370</v>
      </c>
      <c r="F180" s="42" t="s">
        <v>1243</v>
      </c>
      <c r="G180" s="12">
        <v>3.351172</v>
      </c>
      <c r="H180">
        <v>19</v>
      </c>
      <c r="I180" s="22" t="s">
        <v>1241</v>
      </c>
      <c r="J180" s="36">
        <v>1</v>
      </c>
    </row>
    <row r="181" spans="1:14" s="9" customFormat="1" x14ac:dyDescent="0.25">
      <c r="A181" s="30" t="s">
        <v>372</v>
      </c>
      <c r="B181" s="17" t="s">
        <v>1059</v>
      </c>
      <c r="C181" s="38" t="s">
        <v>369</v>
      </c>
      <c r="D181" s="9">
        <v>85</v>
      </c>
      <c r="E181" s="14" t="s">
        <v>373</v>
      </c>
      <c r="F181" s="41" t="s">
        <v>1243</v>
      </c>
      <c r="G181" s="11">
        <v>3.7759320000000001</v>
      </c>
      <c r="H181" s="9">
        <v>20</v>
      </c>
      <c r="I181" s="23" t="s">
        <v>1241</v>
      </c>
      <c r="J181" s="35">
        <v>1</v>
      </c>
    </row>
    <row r="182" spans="1:14" x14ac:dyDescent="0.25">
      <c r="A182" s="25" t="s">
        <v>374</v>
      </c>
      <c r="B182" s="18" t="s">
        <v>1054</v>
      </c>
      <c r="C182" s="39" t="s">
        <v>375</v>
      </c>
      <c r="D182">
        <v>74</v>
      </c>
      <c r="E182" s="15" t="s">
        <v>376</v>
      </c>
      <c r="F182" s="42" t="s">
        <v>1244</v>
      </c>
      <c r="G182" s="12">
        <v>1.7911360000000001</v>
      </c>
      <c r="H182">
        <v>8</v>
      </c>
      <c r="K182">
        <f t="shared" ref="K182" si="99">COUNTIF(F182:F184,"t")</f>
        <v>0</v>
      </c>
    </row>
    <row r="183" spans="1:14" x14ac:dyDescent="0.25">
      <c r="A183" s="25" t="s">
        <v>377</v>
      </c>
      <c r="B183" s="18" t="s">
        <v>1054</v>
      </c>
      <c r="C183" s="39" t="s">
        <v>375</v>
      </c>
      <c r="D183">
        <v>74</v>
      </c>
      <c r="E183" s="15" t="s">
        <v>376</v>
      </c>
      <c r="F183" s="42" t="s">
        <v>1244</v>
      </c>
      <c r="G183" s="12">
        <v>1.160185</v>
      </c>
      <c r="H183">
        <v>8</v>
      </c>
    </row>
    <row r="184" spans="1:14" x14ac:dyDescent="0.25">
      <c r="A184" s="25" t="s">
        <v>378</v>
      </c>
      <c r="B184" s="18" t="s">
        <v>1054</v>
      </c>
      <c r="C184" s="39" t="s">
        <v>375</v>
      </c>
      <c r="D184">
        <v>74</v>
      </c>
      <c r="E184" s="15" t="s">
        <v>376</v>
      </c>
      <c r="F184" s="42" t="s">
        <v>1244</v>
      </c>
      <c r="G184" s="12">
        <v>1.2018260000000001</v>
      </c>
      <c r="H184">
        <v>8</v>
      </c>
    </row>
    <row r="185" spans="1:14" x14ac:dyDescent="0.25">
      <c r="A185" s="26" t="s">
        <v>379</v>
      </c>
      <c r="B185" s="18" t="s">
        <v>1055</v>
      </c>
      <c r="C185" s="39" t="s">
        <v>380</v>
      </c>
      <c r="D185">
        <v>97</v>
      </c>
      <c r="E185" s="15" t="s">
        <v>381</v>
      </c>
      <c r="F185" s="42" t="s">
        <v>1244</v>
      </c>
      <c r="G185" s="12">
        <v>3.1531150000000001</v>
      </c>
      <c r="H185">
        <v>17</v>
      </c>
      <c r="K185">
        <f t="shared" ref="K185" si="100">COUNTIF(F185:F187,"t")</f>
        <v>0</v>
      </c>
      <c r="L185">
        <f t="shared" ref="L185" si="101">K185-K182</f>
        <v>0</v>
      </c>
    </row>
    <row r="186" spans="1:14" x14ac:dyDescent="0.25">
      <c r="A186" s="26" t="s">
        <v>382</v>
      </c>
      <c r="B186" s="18" t="s">
        <v>1055</v>
      </c>
      <c r="C186" s="39" t="s">
        <v>380</v>
      </c>
      <c r="D186">
        <v>97</v>
      </c>
      <c r="E186" s="15" t="s">
        <v>376</v>
      </c>
      <c r="F186" s="42" t="s">
        <v>1244</v>
      </c>
      <c r="G186" s="12">
        <v>1.227895</v>
      </c>
      <c r="H186">
        <v>8</v>
      </c>
    </row>
    <row r="187" spans="1:14" x14ac:dyDescent="0.25">
      <c r="A187" s="26" t="s">
        <v>383</v>
      </c>
      <c r="B187" s="18" t="s">
        <v>1055</v>
      </c>
      <c r="C187" s="39" t="s">
        <v>380</v>
      </c>
      <c r="D187">
        <v>97</v>
      </c>
      <c r="E187" s="15" t="s">
        <v>376</v>
      </c>
      <c r="F187" s="42" t="s">
        <v>1244</v>
      </c>
      <c r="G187" s="12">
        <v>1.30148</v>
      </c>
      <c r="H187">
        <v>8</v>
      </c>
    </row>
    <row r="188" spans="1:14" x14ac:dyDescent="0.25">
      <c r="A188" s="27" t="s">
        <v>384</v>
      </c>
      <c r="B188" s="18" t="s">
        <v>1056</v>
      </c>
      <c r="C188" s="39" t="s">
        <v>385</v>
      </c>
      <c r="D188">
        <v>93</v>
      </c>
      <c r="E188" s="15" t="s">
        <v>376</v>
      </c>
      <c r="F188" s="42" t="s">
        <v>1244</v>
      </c>
      <c r="G188" s="12">
        <v>16.314722</v>
      </c>
      <c r="H188">
        <v>8</v>
      </c>
      <c r="K188">
        <f t="shared" ref="K188" si="102">COUNTIF(F188:F190,"t")</f>
        <v>1</v>
      </c>
      <c r="L188">
        <f t="shared" ref="L188" si="103">K188-K182</f>
        <v>1</v>
      </c>
    </row>
    <row r="189" spans="1:14" x14ac:dyDescent="0.25">
      <c r="A189" s="27" t="s">
        <v>386</v>
      </c>
      <c r="B189" s="18" t="s">
        <v>1056</v>
      </c>
      <c r="C189" s="39" t="s">
        <v>387</v>
      </c>
      <c r="D189">
        <v>89</v>
      </c>
      <c r="E189" s="15" t="s">
        <v>388</v>
      </c>
      <c r="F189" s="42" t="s">
        <v>1243</v>
      </c>
      <c r="G189" s="12">
        <v>15.064468</v>
      </c>
      <c r="H189">
        <v>8</v>
      </c>
    </row>
    <row r="190" spans="1:14" x14ac:dyDescent="0.25">
      <c r="A190" s="28" t="s">
        <v>389</v>
      </c>
      <c r="B190" s="17" t="s">
        <v>1056</v>
      </c>
      <c r="C190" s="38" t="s">
        <v>385</v>
      </c>
      <c r="D190" s="9">
        <v>93</v>
      </c>
      <c r="E190" s="14" t="s">
        <v>376</v>
      </c>
      <c r="F190" s="41" t="s">
        <v>1244</v>
      </c>
      <c r="G190" s="11">
        <v>16.041409999999999</v>
      </c>
      <c r="H190" s="9">
        <v>8</v>
      </c>
      <c r="I190" s="20"/>
      <c r="J190" s="35"/>
      <c r="K190" s="9"/>
      <c r="L190" s="9"/>
      <c r="M190" s="9"/>
      <c r="N190" s="9"/>
    </row>
    <row r="191" spans="1:14" x14ac:dyDescent="0.25">
      <c r="A191" s="29" t="s">
        <v>390</v>
      </c>
      <c r="B191" s="18" t="s">
        <v>1057</v>
      </c>
      <c r="C191" s="39" t="s">
        <v>391</v>
      </c>
      <c r="D191">
        <v>90</v>
      </c>
      <c r="E191" s="15" t="s">
        <v>376</v>
      </c>
      <c r="F191" s="42" t="s">
        <v>1244</v>
      </c>
      <c r="G191" s="12">
        <v>1.7450479999999999</v>
      </c>
      <c r="H191">
        <v>8</v>
      </c>
      <c r="I191" s="22" t="s">
        <v>1239</v>
      </c>
      <c r="J191" s="36">
        <v>1</v>
      </c>
      <c r="K191">
        <f t="shared" ref="K191" si="104">COUNTIF(F191:F193,"t")</f>
        <v>1</v>
      </c>
      <c r="L191">
        <f t="shared" ref="L191" si="105">K191-K182</f>
        <v>1</v>
      </c>
    </row>
    <row r="192" spans="1:14" x14ac:dyDescent="0.25">
      <c r="A192" s="29" t="s">
        <v>392</v>
      </c>
      <c r="B192" s="18" t="s">
        <v>1057</v>
      </c>
      <c r="C192" s="39" t="s">
        <v>391</v>
      </c>
      <c r="D192">
        <v>90</v>
      </c>
      <c r="E192" s="15" t="s">
        <v>376</v>
      </c>
      <c r="F192" s="42" t="s">
        <v>1244</v>
      </c>
      <c r="G192" s="12">
        <v>1.1423380000000001</v>
      </c>
      <c r="H192">
        <v>8</v>
      </c>
      <c r="I192" s="22" t="s">
        <v>1239</v>
      </c>
      <c r="J192" s="36">
        <v>1</v>
      </c>
    </row>
    <row r="193" spans="1:14" x14ac:dyDescent="0.25">
      <c r="A193" s="30" t="s">
        <v>393</v>
      </c>
      <c r="B193" s="17" t="s">
        <v>1057</v>
      </c>
      <c r="C193" s="38" t="s">
        <v>391</v>
      </c>
      <c r="D193" s="9">
        <v>90</v>
      </c>
      <c r="E193" s="14" t="s">
        <v>388</v>
      </c>
      <c r="F193" s="41" t="s">
        <v>1243</v>
      </c>
      <c r="G193" s="11">
        <v>1.2103090000000001</v>
      </c>
      <c r="H193" s="9">
        <v>8</v>
      </c>
      <c r="I193" s="23" t="s">
        <v>1239</v>
      </c>
      <c r="J193" s="35">
        <v>1</v>
      </c>
      <c r="K193" s="9"/>
      <c r="L193" s="9"/>
      <c r="M193" s="9"/>
      <c r="N193" s="9"/>
    </row>
    <row r="194" spans="1:14" x14ac:dyDescent="0.25">
      <c r="A194" s="31" t="s">
        <v>394</v>
      </c>
      <c r="B194" s="19" t="s">
        <v>1058</v>
      </c>
      <c r="C194" s="40" t="s">
        <v>395</v>
      </c>
      <c r="D194" s="10">
        <v>104</v>
      </c>
      <c r="E194" s="16" t="s">
        <v>396</v>
      </c>
      <c r="F194" s="43" t="s">
        <v>1243</v>
      </c>
      <c r="G194" s="13">
        <v>2.546646</v>
      </c>
      <c r="H194" s="10">
        <v>13</v>
      </c>
      <c r="I194" s="24" t="s">
        <v>1066</v>
      </c>
      <c r="J194" s="37">
        <v>1</v>
      </c>
      <c r="K194">
        <f t="shared" ref="K194" si="106">COUNTIF(F194:F196,"t")</f>
        <v>3</v>
      </c>
      <c r="L194" s="10">
        <f t="shared" ref="L194" si="107">K194-K182</f>
        <v>3</v>
      </c>
      <c r="M194" s="10"/>
      <c r="N194" s="10"/>
    </row>
    <row r="195" spans="1:14" x14ac:dyDescent="0.25">
      <c r="A195" s="29" t="s">
        <v>397</v>
      </c>
      <c r="B195" s="18" t="s">
        <v>1058</v>
      </c>
      <c r="C195" s="39" t="s">
        <v>395</v>
      </c>
      <c r="D195">
        <v>104</v>
      </c>
      <c r="E195" s="15" t="s">
        <v>388</v>
      </c>
      <c r="F195" s="42" t="s">
        <v>1243</v>
      </c>
      <c r="G195" s="12">
        <v>1.1814499999999999</v>
      </c>
      <c r="H195">
        <v>8</v>
      </c>
      <c r="I195" s="22" t="s">
        <v>1066</v>
      </c>
      <c r="J195" s="36">
        <v>1</v>
      </c>
    </row>
    <row r="196" spans="1:14" x14ac:dyDescent="0.25">
      <c r="A196" s="30" t="s">
        <v>398</v>
      </c>
      <c r="B196" s="17" t="s">
        <v>1058</v>
      </c>
      <c r="C196" s="38" t="s">
        <v>395</v>
      </c>
      <c r="D196" s="9">
        <v>104</v>
      </c>
      <c r="E196" s="14" t="s">
        <v>399</v>
      </c>
      <c r="F196" s="41" t="s">
        <v>1243</v>
      </c>
      <c r="G196" s="11">
        <v>2.6429339999999999</v>
      </c>
      <c r="H196" s="9">
        <v>16</v>
      </c>
      <c r="I196" s="23" t="s">
        <v>1066</v>
      </c>
      <c r="J196" s="35">
        <v>1</v>
      </c>
      <c r="K196" s="9"/>
      <c r="L196" s="9"/>
      <c r="M196" s="9"/>
      <c r="N196" s="9"/>
    </row>
    <row r="197" spans="1:14" x14ac:dyDescent="0.25">
      <c r="A197" s="29" t="s">
        <v>400</v>
      </c>
      <c r="B197" s="18" t="s">
        <v>1059</v>
      </c>
      <c r="C197" s="39" t="s">
        <v>401</v>
      </c>
      <c r="D197">
        <v>89</v>
      </c>
      <c r="E197" s="15" t="s">
        <v>376</v>
      </c>
      <c r="F197" s="42" t="s">
        <v>1244</v>
      </c>
      <c r="G197" s="12">
        <v>3.8198669999999999</v>
      </c>
      <c r="H197">
        <v>8</v>
      </c>
      <c r="I197" s="22" t="s">
        <v>1239</v>
      </c>
      <c r="J197" s="36">
        <v>0</v>
      </c>
      <c r="K197">
        <f t="shared" ref="K197" si="108">COUNTIF(F197:F199,"t")</f>
        <v>0</v>
      </c>
      <c r="L197">
        <f t="shared" ref="L197" si="109">K197-K182</f>
        <v>0</v>
      </c>
    </row>
    <row r="198" spans="1:14" x14ac:dyDescent="0.25">
      <c r="A198" s="29" t="s">
        <v>402</v>
      </c>
      <c r="B198" s="18" t="s">
        <v>1059</v>
      </c>
      <c r="C198" s="39" t="s">
        <v>401</v>
      </c>
      <c r="D198">
        <v>89</v>
      </c>
      <c r="E198" s="15" t="s">
        <v>376</v>
      </c>
      <c r="F198" s="42" t="s">
        <v>1244</v>
      </c>
      <c r="G198" s="12">
        <v>1.6735599999999999</v>
      </c>
      <c r="H198">
        <v>8</v>
      </c>
      <c r="I198" s="22" t="s">
        <v>1239</v>
      </c>
      <c r="J198" s="36">
        <v>0</v>
      </c>
    </row>
    <row r="199" spans="1:14" s="9" customFormat="1" x14ac:dyDescent="0.25">
      <c r="A199" s="30" t="s">
        <v>403</v>
      </c>
      <c r="B199" s="17" t="s">
        <v>1059</v>
      </c>
      <c r="C199" s="38" t="s">
        <v>401</v>
      </c>
      <c r="D199" s="9">
        <v>89</v>
      </c>
      <c r="E199" s="14" t="s">
        <v>376</v>
      </c>
      <c r="F199" s="41" t="s">
        <v>1244</v>
      </c>
      <c r="G199" s="11">
        <v>1.160371</v>
      </c>
      <c r="H199" s="9">
        <v>8</v>
      </c>
      <c r="I199" s="23" t="s">
        <v>1239</v>
      </c>
      <c r="J199" s="35">
        <v>0</v>
      </c>
    </row>
    <row r="200" spans="1:14" x14ac:dyDescent="0.25">
      <c r="A200" s="25" t="s">
        <v>404</v>
      </c>
      <c r="B200" s="18" t="s">
        <v>1054</v>
      </c>
      <c r="C200" s="39" t="s">
        <v>405</v>
      </c>
      <c r="D200">
        <v>85</v>
      </c>
      <c r="E200" s="15" t="s">
        <v>406</v>
      </c>
      <c r="F200" s="42" t="s">
        <v>1243</v>
      </c>
      <c r="G200" s="12">
        <v>1.163249</v>
      </c>
      <c r="H200">
        <v>4</v>
      </c>
      <c r="K200">
        <f t="shared" ref="K200" si="110">COUNTIF(F200:F202,"t")</f>
        <v>3</v>
      </c>
    </row>
    <row r="201" spans="1:14" x14ac:dyDescent="0.25">
      <c r="A201" s="25" t="s">
        <v>407</v>
      </c>
      <c r="B201" s="18" t="s">
        <v>1054</v>
      </c>
      <c r="C201" s="39" t="s">
        <v>405</v>
      </c>
      <c r="D201">
        <v>85</v>
      </c>
      <c r="E201" s="15" t="s">
        <v>408</v>
      </c>
      <c r="F201" s="42" t="s">
        <v>1243</v>
      </c>
      <c r="G201" s="12">
        <v>1.4111279999999999</v>
      </c>
      <c r="H201">
        <v>10</v>
      </c>
    </row>
    <row r="202" spans="1:14" x14ac:dyDescent="0.25">
      <c r="A202" s="25" t="s">
        <v>409</v>
      </c>
      <c r="B202" s="18" t="s">
        <v>1054</v>
      </c>
      <c r="C202" s="39" t="s">
        <v>405</v>
      </c>
      <c r="D202">
        <v>85</v>
      </c>
      <c r="E202" s="15" t="s">
        <v>406</v>
      </c>
      <c r="F202" s="42" t="s">
        <v>1243</v>
      </c>
      <c r="G202" s="12">
        <v>0.55131399999999997</v>
      </c>
      <c r="H202">
        <v>4</v>
      </c>
    </row>
    <row r="203" spans="1:14" x14ac:dyDescent="0.25">
      <c r="A203" s="26" t="s">
        <v>410</v>
      </c>
      <c r="B203" s="18" t="s">
        <v>1055</v>
      </c>
      <c r="C203" s="39" t="s">
        <v>411</v>
      </c>
      <c r="D203">
        <v>102</v>
      </c>
      <c r="E203" s="15" t="s">
        <v>408</v>
      </c>
      <c r="F203" s="42" t="s">
        <v>1243</v>
      </c>
      <c r="G203" s="12">
        <v>2.052521</v>
      </c>
      <c r="H203">
        <v>10</v>
      </c>
      <c r="K203">
        <f t="shared" ref="K203" si="111">COUNTIF(F203:F205,"t")</f>
        <v>1</v>
      </c>
      <c r="L203">
        <f t="shared" ref="L203" si="112">K203-K200</f>
        <v>-2</v>
      </c>
    </row>
    <row r="204" spans="1:14" x14ac:dyDescent="0.25">
      <c r="A204" s="26" t="s">
        <v>412</v>
      </c>
      <c r="B204" s="18" t="s">
        <v>1055</v>
      </c>
      <c r="C204" s="39" t="s">
        <v>411</v>
      </c>
      <c r="D204">
        <v>102</v>
      </c>
      <c r="E204" s="15" t="s">
        <v>413</v>
      </c>
      <c r="F204" s="42" t="s">
        <v>1244</v>
      </c>
      <c r="G204" s="12">
        <v>1.4904539999999999</v>
      </c>
      <c r="H204">
        <v>10</v>
      </c>
    </row>
    <row r="205" spans="1:14" x14ac:dyDescent="0.25">
      <c r="A205" s="26" t="s">
        <v>414</v>
      </c>
      <c r="B205" s="18" t="s">
        <v>1055</v>
      </c>
      <c r="C205" s="39" t="s">
        <v>411</v>
      </c>
      <c r="D205">
        <v>102</v>
      </c>
      <c r="E205" s="15" t="s">
        <v>415</v>
      </c>
      <c r="F205" s="42" t="s">
        <v>1244</v>
      </c>
      <c r="G205" s="12">
        <v>1.566298</v>
      </c>
      <c r="H205">
        <v>10</v>
      </c>
    </row>
    <row r="206" spans="1:14" x14ac:dyDescent="0.25">
      <c r="A206" s="27" t="s">
        <v>416</v>
      </c>
      <c r="B206" s="18" t="s">
        <v>1056</v>
      </c>
      <c r="C206" s="39" t="s">
        <v>417</v>
      </c>
      <c r="D206">
        <v>136</v>
      </c>
      <c r="E206" s="15" t="s">
        <v>406</v>
      </c>
      <c r="F206" s="42" t="s">
        <v>1243</v>
      </c>
      <c r="G206" s="12">
        <v>25.340899</v>
      </c>
      <c r="H206">
        <v>4</v>
      </c>
      <c r="K206">
        <f t="shared" ref="K206" si="113">COUNTIF(F206:F208,"t")</f>
        <v>2</v>
      </c>
      <c r="L206">
        <f t="shared" ref="L206" si="114">K206-K200</f>
        <v>-1</v>
      </c>
    </row>
    <row r="207" spans="1:14" x14ac:dyDescent="0.25">
      <c r="A207" s="27" t="s">
        <v>418</v>
      </c>
      <c r="B207" s="18" t="s">
        <v>1056</v>
      </c>
      <c r="C207" s="39" t="s">
        <v>419</v>
      </c>
      <c r="D207">
        <v>118</v>
      </c>
      <c r="E207" s="15" t="s">
        <v>413</v>
      </c>
      <c r="F207" s="42" t="s">
        <v>1244</v>
      </c>
      <c r="G207" s="12">
        <v>22.578969000000001</v>
      </c>
      <c r="H207">
        <v>10</v>
      </c>
    </row>
    <row r="208" spans="1:14" x14ac:dyDescent="0.25">
      <c r="A208" s="28" t="s">
        <v>420</v>
      </c>
      <c r="B208" s="17" t="s">
        <v>1056</v>
      </c>
      <c r="C208" s="38" t="s">
        <v>421</v>
      </c>
      <c r="D208" s="9">
        <v>97</v>
      </c>
      <c r="E208" s="14" t="s">
        <v>422</v>
      </c>
      <c r="F208" s="41" t="s">
        <v>1243</v>
      </c>
      <c r="G208" s="11">
        <v>17.904537999999999</v>
      </c>
      <c r="H208" s="9">
        <v>5</v>
      </c>
      <c r="I208" s="20"/>
      <c r="J208" s="35"/>
      <c r="K208" s="9"/>
      <c r="L208" s="9"/>
      <c r="M208" s="9"/>
      <c r="N208" s="9"/>
    </row>
    <row r="209" spans="1:14" x14ac:dyDescent="0.25">
      <c r="A209" s="29" t="s">
        <v>423</v>
      </c>
      <c r="B209" s="18" t="s">
        <v>1057</v>
      </c>
      <c r="C209" s="39" t="s">
        <v>424</v>
      </c>
      <c r="D209">
        <v>98</v>
      </c>
      <c r="E209" s="15" t="s">
        <v>408</v>
      </c>
      <c r="F209" s="42" t="s">
        <v>1243</v>
      </c>
      <c r="G209" s="12">
        <v>2.1685120000000002</v>
      </c>
      <c r="H209">
        <v>10</v>
      </c>
      <c r="I209" s="22" t="s">
        <v>1065</v>
      </c>
      <c r="J209" s="36">
        <v>-1</v>
      </c>
      <c r="K209">
        <f t="shared" ref="K209" si="115">COUNTIF(F209:F211,"t")</f>
        <v>3</v>
      </c>
      <c r="L209">
        <f t="shared" ref="L209" si="116">K209-K200</f>
        <v>0</v>
      </c>
    </row>
    <row r="210" spans="1:14" x14ac:dyDescent="0.25">
      <c r="A210" s="29" t="s">
        <v>425</v>
      </c>
      <c r="B210" s="18" t="s">
        <v>1057</v>
      </c>
      <c r="C210" s="39" t="s">
        <v>424</v>
      </c>
      <c r="D210">
        <v>98</v>
      </c>
      <c r="E210" s="15" t="s">
        <v>408</v>
      </c>
      <c r="F210" s="42" t="s">
        <v>1243</v>
      </c>
      <c r="G210" s="12">
        <v>1.5960570000000001</v>
      </c>
      <c r="H210">
        <v>10</v>
      </c>
      <c r="I210" s="22" t="s">
        <v>1065</v>
      </c>
      <c r="J210" s="36">
        <v>-1</v>
      </c>
    </row>
    <row r="211" spans="1:14" x14ac:dyDescent="0.25">
      <c r="A211" s="30" t="s">
        <v>426</v>
      </c>
      <c r="B211" s="17" t="s">
        <v>1057</v>
      </c>
      <c r="C211" s="38" t="s">
        <v>424</v>
      </c>
      <c r="D211" s="9">
        <v>98</v>
      </c>
      <c r="E211" s="14" t="s">
        <v>422</v>
      </c>
      <c r="F211" s="41" t="s">
        <v>1243</v>
      </c>
      <c r="G211" s="11">
        <v>0.77576000000000001</v>
      </c>
      <c r="H211" s="9">
        <v>5</v>
      </c>
      <c r="I211" s="23" t="s">
        <v>1065</v>
      </c>
      <c r="J211" s="35">
        <v>-1</v>
      </c>
      <c r="K211" s="9"/>
      <c r="L211" s="9"/>
      <c r="M211" s="9"/>
      <c r="N211" s="9"/>
    </row>
    <row r="212" spans="1:14" x14ac:dyDescent="0.25">
      <c r="A212" s="31" t="s">
        <v>427</v>
      </c>
      <c r="B212" s="19" t="s">
        <v>1058</v>
      </c>
      <c r="C212" s="40" t="s">
        <v>428</v>
      </c>
      <c r="D212" s="10">
        <v>96</v>
      </c>
      <c r="E212" s="16" t="s">
        <v>429</v>
      </c>
      <c r="F212" s="43" t="s">
        <v>1243</v>
      </c>
      <c r="G212" s="13">
        <v>2.999352</v>
      </c>
      <c r="H212" s="10">
        <v>5</v>
      </c>
      <c r="I212" s="24" t="s">
        <v>1240</v>
      </c>
      <c r="J212" s="37">
        <v>1</v>
      </c>
      <c r="K212">
        <f t="shared" ref="K212" si="117">COUNTIF(F212:F214,"t")</f>
        <v>3</v>
      </c>
      <c r="L212" s="10">
        <f t="shared" ref="L212" si="118">K212-K200</f>
        <v>0</v>
      </c>
      <c r="M212" s="10"/>
      <c r="N212" s="10"/>
    </row>
    <row r="213" spans="1:14" x14ac:dyDescent="0.25">
      <c r="A213" s="29" t="s">
        <v>430</v>
      </c>
      <c r="B213" s="18" t="s">
        <v>1058</v>
      </c>
      <c r="C213" s="39" t="s">
        <v>428</v>
      </c>
      <c r="D213">
        <v>96</v>
      </c>
      <c r="E213" s="15" t="s">
        <v>431</v>
      </c>
      <c r="F213" s="42" t="s">
        <v>1243</v>
      </c>
      <c r="G213" s="12">
        <v>2.292357</v>
      </c>
      <c r="H213">
        <v>11</v>
      </c>
      <c r="I213" s="22" t="s">
        <v>1240</v>
      </c>
      <c r="J213" s="36">
        <v>1</v>
      </c>
    </row>
    <row r="214" spans="1:14" x14ac:dyDescent="0.25">
      <c r="A214" s="30" t="s">
        <v>432</v>
      </c>
      <c r="B214" s="17" t="s">
        <v>1058</v>
      </c>
      <c r="C214" s="38" t="s">
        <v>428</v>
      </c>
      <c r="D214" s="9">
        <v>96</v>
      </c>
      <c r="E214" s="14" t="s">
        <v>429</v>
      </c>
      <c r="F214" s="41" t="s">
        <v>1243</v>
      </c>
      <c r="G214" s="11">
        <v>0.71841999999999995</v>
      </c>
      <c r="H214" s="9">
        <v>5</v>
      </c>
      <c r="I214" s="23" t="s">
        <v>1240</v>
      </c>
      <c r="J214" s="35">
        <v>1</v>
      </c>
      <c r="K214" s="9"/>
      <c r="L214" s="9"/>
      <c r="M214" s="9"/>
      <c r="N214" s="9"/>
    </row>
    <row r="215" spans="1:14" x14ac:dyDescent="0.25">
      <c r="A215" s="29" t="s">
        <v>433</v>
      </c>
      <c r="B215" s="18" t="s">
        <v>1059</v>
      </c>
      <c r="C215" s="39" t="s">
        <v>434</v>
      </c>
      <c r="D215">
        <v>96</v>
      </c>
      <c r="E215" s="15" t="s">
        <v>429</v>
      </c>
      <c r="F215" s="42" t="s">
        <v>1243</v>
      </c>
      <c r="G215" s="12">
        <v>2.937716</v>
      </c>
      <c r="H215">
        <v>5</v>
      </c>
      <c r="I215" s="22" t="s">
        <v>1240</v>
      </c>
      <c r="J215" s="36">
        <v>2</v>
      </c>
      <c r="K215">
        <f t="shared" ref="K215" si="119">COUNTIF(F215:F217,"t")</f>
        <v>3</v>
      </c>
      <c r="L215">
        <f t="shared" ref="L215" si="120">K215-K200</f>
        <v>0</v>
      </c>
    </row>
    <row r="216" spans="1:14" x14ac:dyDescent="0.25">
      <c r="A216" s="29" t="s">
        <v>435</v>
      </c>
      <c r="B216" s="18" t="s">
        <v>1059</v>
      </c>
      <c r="C216" s="39" t="s">
        <v>434</v>
      </c>
      <c r="D216">
        <v>96</v>
      </c>
      <c r="E216" s="15" t="s">
        <v>436</v>
      </c>
      <c r="F216" s="42" t="s">
        <v>1243</v>
      </c>
      <c r="G216" s="12">
        <v>2.0781710000000002</v>
      </c>
      <c r="H216">
        <v>10</v>
      </c>
      <c r="I216" s="22" t="s">
        <v>1240</v>
      </c>
      <c r="J216" s="36">
        <v>2</v>
      </c>
    </row>
    <row r="217" spans="1:14" s="9" customFormat="1" x14ac:dyDescent="0.25">
      <c r="A217" s="30" t="s">
        <v>437</v>
      </c>
      <c r="B217" s="17" t="s">
        <v>1059</v>
      </c>
      <c r="C217" s="38" t="s">
        <v>434</v>
      </c>
      <c r="D217" s="9">
        <v>96</v>
      </c>
      <c r="E217" s="14" t="s">
        <v>431</v>
      </c>
      <c r="F217" s="41" t="s">
        <v>1243</v>
      </c>
      <c r="G217" s="11">
        <v>1.8375280000000001</v>
      </c>
      <c r="H217" s="9">
        <v>11</v>
      </c>
      <c r="I217" s="23" t="s">
        <v>1240</v>
      </c>
      <c r="J217" s="35">
        <v>2</v>
      </c>
    </row>
    <row r="218" spans="1:14" x14ac:dyDescent="0.25">
      <c r="A218" s="25" t="s">
        <v>438</v>
      </c>
      <c r="B218" s="18" t="s">
        <v>1054</v>
      </c>
      <c r="C218" s="39" t="s">
        <v>439</v>
      </c>
      <c r="D218">
        <v>88</v>
      </c>
      <c r="E218" s="15" t="s">
        <v>440</v>
      </c>
      <c r="F218" s="42" t="s">
        <v>1244</v>
      </c>
      <c r="G218" s="12">
        <v>2.0272830000000002</v>
      </c>
      <c r="H218">
        <v>9</v>
      </c>
      <c r="K218">
        <f t="shared" ref="K218" si="121">COUNTIF(F218:F220,"t")</f>
        <v>0</v>
      </c>
    </row>
    <row r="219" spans="1:14" x14ac:dyDescent="0.25">
      <c r="A219" s="25" t="s">
        <v>441</v>
      </c>
      <c r="B219" s="18" t="s">
        <v>1054</v>
      </c>
      <c r="C219" s="39" t="s">
        <v>439</v>
      </c>
      <c r="D219">
        <v>88</v>
      </c>
      <c r="E219" s="15" t="s">
        <v>442</v>
      </c>
      <c r="F219" s="42" t="s">
        <v>1244</v>
      </c>
      <c r="G219" s="12">
        <v>0.38795600000000002</v>
      </c>
      <c r="H219">
        <v>3</v>
      </c>
    </row>
    <row r="220" spans="1:14" x14ac:dyDescent="0.25">
      <c r="A220" s="25" t="s">
        <v>443</v>
      </c>
      <c r="B220" s="18" t="s">
        <v>1054</v>
      </c>
      <c r="C220" s="39" t="s">
        <v>439</v>
      </c>
      <c r="D220">
        <v>88</v>
      </c>
      <c r="E220" s="15" t="s">
        <v>444</v>
      </c>
      <c r="F220" s="42" t="s">
        <v>1244</v>
      </c>
      <c r="G220" s="12">
        <v>0.55994999999999995</v>
      </c>
      <c r="H220">
        <v>4</v>
      </c>
    </row>
    <row r="221" spans="1:14" x14ac:dyDescent="0.25">
      <c r="A221" s="26" t="s">
        <v>445</v>
      </c>
      <c r="B221" s="18" t="s">
        <v>1055</v>
      </c>
      <c r="C221" s="39" t="s">
        <v>446</v>
      </c>
      <c r="D221">
        <v>111</v>
      </c>
      <c r="E221" s="15" t="s">
        <v>442</v>
      </c>
      <c r="F221" s="42" t="s">
        <v>1244</v>
      </c>
      <c r="G221" s="12">
        <v>1.0281830000000001</v>
      </c>
      <c r="H221">
        <v>3</v>
      </c>
      <c r="K221">
        <f t="shared" ref="K221" si="122">COUNTIF(F221:F223,"t")</f>
        <v>0</v>
      </c>
      <c r="L221">
        <f t="shared" ref="L221" si="123">K221-K218</f>
        <v>0</v>
      </c>
    </row>
    <row r="222" spans="1:14" x14ac:dyDescent="0.25">
      <c r="A222" s="26" t="s">
        <v>447</v>
      </c>
      <c r="B222" s="18" t="s">
        <v>1055</v>
      </c>
      <c r="C222" s="39" t="s">
        <v>446</v>
      </c>
      <c r="D222">
        <v>111</v>
      </c>
      <c r="E222" s="15" t="s">
        <v>444</v>
      </c>
      <c r="F222" s="42" t="s">
        <v>1244</v>
      </c>
      <c r="G222" s="12">
        <v>0.54783400000000004</v>
      </c>
      <c r="H222">
        <v>4</v>
      </c>
    </row>
    <row r="223" spans="1:14" x14ac:dyDescent="0.25">
      <c r="A223" s="26" t="s">
        <v>448</v>
      </c>
      <c r="B223" s="18" t="s">
        <v>1055</v>
      </c>
      <c r="C223" s="39" t="s">
        <v>446</v>
      </c>
      <c r="D223">
        <v>111</v>
      </c>
      <c r="E223" s="15" t="s">
        <v>449</v>
      </c>
      <c r="F223" s="42" t="s">
        <v>1244</v>
      </c>
      <c r="G223" s="12">
        <v>0.54163099999999997</v>
      </c>
      <c r="H223">
        <v>4</v>
      </c>
    </row>
    <row r="224" spans="1:14" x14ac:dyDescent="0.25">
      <c r="A224" s="27" t="s">
        <v>450</v>
      </c>
      <c r="B224" s="18" t="s">
        <v>1056</v>
      </c>
      <c r="C224" s="39" t="s">
        <v>451</v>
      </c>
      <c r="D224">
        <v>113</v>
      </c>
      <c r="E224" s="15" t="s">
        <v>452</v>
      </c>
      <c r="F224" s="42" t="s">
        <v>1244</v>
      </c>
      <c r="G224" s="12">
        <v>21.899647999999999</v>
      </c>
      <c r="H224">
        <v>10</v>
      </c>
      <c r="K224">
        <f t="shared" ref="K224" si="124">COUNTIF(F224:F226,"t")</f>
        <v>0</v>
      </c>
      <c r="L224">
        <f t="shared" ref="L224" si="125">K224-K218</f>
        <v>0</v>
      </c>
    </row>
    <row r="225" spans="1:14" x14ac:dyDescent="0.25">
      <c r="A225" s="27" t="s">
        <v>453</v>
      </c>
      <c r="B225" s="18" t="s">
        <v>1056</v>
      </c>
      <c r="C225" s="39" t="s">
        <v>454</v>
      </c>
      <c r="D225">
        <v>127</v>
      </c>
      <c r="E225" s="15" t="s">
        <v>452</v>
      </c>
      <c r="F225" s="42" t="s">
        <v>1244</v>
      </c>
      <c r="G225" s="12">
        <v>24.358169</v>
      </c>
      <c r="H225">
        <v>10</v>
      </c>
    </row>
    <row r="226" spans="1:14" x14ac:dyDescent="0.25">
      <c r="A226" s="28" t="s">
        <v>455</v>
      </c>
      <c r="B226" s="17" t="s">
        <v>1056</v>
      </c>
      <c r="C226" s="38" t="s">
        <v>456</v>
      </c>
      <c r="D226" s="9">
        <v>115</v>
      </c>
      <c r="E226" s="14" t="s">
        <v>457</v>
      </c>
      <c r="F226" s="41" t="s">
        <v>1244</v>
      </c>
      <c r="G226" s="11">
        <v>22.143801</v>
      </c>
      <c r="H226" s="9">
        <v>10</v>
      </c>
      <c r="I226" s="20"/>
      <c r="J226" s="35"/>
      <c r="K226" s="9"/>
      <c r="L226" s="9"/>
      <c r="M226" s="9"/>
      <c r="N226" s="9"/>
    </row>
    <row r="227" spans="1:14" x14ac:dyDescent="0.25">
      <c r="A227" s="29" t="s">
        <v>458</v>
      </c>
      <c r="B227" s="18" t="s">
        <v>1057</v>
      </c>
      <c r="C227" s="39" t="s">
        <v>459</v>
      </c>
      <c r="D227">
        <v>99</v>
      </c>
      <c r="E227" s="15" t="s">
        <v>460</v>
      </c>
      <c r="F227" s="42" t="s">
        <v>1243</v>
      </c>
      <c r="G227" s="12">
        <v>2.289037</v>
      </c>
      <c r="H227">
        <v>11</v>
      </c>
      <c r="I227" s="22" t="s">
        <v>1066</v>
      </c>
      <c r="J227" s="36">
        <v>2</v>
      </c>
      <c r="K227">
        <f t="shared" ref="K227" si="126">COUNTIF(F227:F229,"t")</f>
        <v>2</v>
      </c>
      <c r="L227">
        <f t="shared" ref="L227" si="127">K227-K218</f>
        <v>2</v>
      </c>
    </row>
    <row r="228" spans="1:14" x14ac:dyDescent="0.25">
      <c r="A228" s="29" t="s">
        <v>461</v>
      </c>
      <c r="B228" s="18" t="s">
        <v>1057</v>
      </c>
      <c r="C228" s="39" t="s">
        <v>459</v>
      </c>
      <c r="D228">
        <v>99</v>
      </c>
      <c r="E228" s="15" t="s">
        <v>440</v>
      </c>
      <c r="F228" s="42" t="s">
        <v>1244</v>
      </c>
      <c r="G228" s="12">
        <v>1.4289529999999999</v>
      </c>
      <c r="H228">
        <v>9</v>
      </c>
      <c r="I228" s="22" t="s">
        <v>1066</v>
      </c>
      <c r="J228" s="36">
        <v>2</v>
      </c>
    </row>
    <row r="229" spans="1:14" x14ac:dyDescent="0.25">
      <c r="A229" s="30" t="s">
        <v>462</v>
      </c>
      <c r="B229" s="17" t="s">
        <v>1057</v>
      </c>
      <c r="C229" s="38" t="s">
        <v>459</v>
      </c>
      <c r="D229" s="9">
        <v>99</v>
      </c>
      <c r="E229" s="14" t="s">
        <v>463</v>
      </c>
      <c r="F229" s="41" t="s">
        <v>1243</v>
      </c>
      <c r="G229" s="11">
        <v>2.277838</v>
      </c>
      <c r="H229" s="9">
        <v>13</v>
      </c>
      <c r="I229" s="23" t="s">
        <v>1066</v>
      </c>
      <c r="J229" s="35">
        <v>2</v>
      </c>
      <c r="K229" s="9"/>
      <c r="L229" s="9"/>
      <c r="M229" s="9"/>
      <c r="N229" s="9"/>
    </row>
    <row r="230" spans="1:14" x14ac:dyDescent="0.25">
      <c r="A230" s="31" t="s">
        <v>464</v>
      </c>
      <c r="B230" s="19" t="s">
        <v>1058</v>
      </c>
      <c r="C230" s="40" t="s">
        <v>465</v>
      </c>
      <c r="D230" s="10">
        <v>101</v>
      </c>
      <c r="E230" s="16" t="s">
        <v>466</v>
      </c>
      <c r="F230" s="43" t="s">
        <v>1244</v>
      </c>
      <c r="G230" s="13">
        <v>4.2439450000000001</v>
      </c>
      <c r="H230" s="10">
        <v>13</v>
      </c>
      <c r="I230" s="24" t="s">
        <v>1240</v>
      </c>
      <c r="J230" s="37">
        <v>1</v>
      </c>
      <c r="K230">
        <f t="shared" ref="K230" si="128">COUNTIF(F230:F232,"t")</f>
        <v>0</v>
      </c>
      <c r="L230" s="10">
        <f t="shared" ref="L230" si="129">K230-K218</f>
        <v>0</v>
      </c>
      <c r="M230" s="10"/>
      <c r="N230" s="10"/>
    </row>
    <row r="231" spans="1:14" x14ac:dyDescent="0.25">
      <c r="A231" s="29" t="s">
        <v>467</v>
      </c>
      <c r="B231" s="18" t="s">
        <v>1058</v>
      </c>
      <c r="C231" s="39" t="s">
        <v>465</v>
      </c>
      <c r="D231">
        <v>101</v>
      </c>
      <c r="E231" s="15" t="s">
        <v>468</v>
      </c>
      <c r="F231" s="42" t="s">
        <v>1244</v>
      </c>
      <c r="G231" s="12">
        <v>2.9909530000000002</v>
      </c>
      <c r="H231">
        <v>18</v>
      </c>
      <c r="I231" s="22" t="s">
        <v>1240</v>
      </c>
      <c r="J231" s="36">
        <v>1</v>
      </c>
    </row>
    <row r="232" spans="1:14" x14ac:dyDescent="0.25">
      <c r="A232" s="30" t="s">
        <v>469</v>
      </c>
      <c r="B232" s="17" t="s">
        <v>1058</v>
      </c>
      <c r="C232" s="38" t="s">
        <v>465</v>
      </c>
      <c r="D232" s="9">
        <v>101</v>
      </c>
      <c r="E232" s="14" t="s">
        <v>470</v>
      </c>
      <c r="F232" s="41" t="s">
        <v>1244</v>
      </c>
      <c r="G232" s="11">
        <v>1.5811649999999999</v>
      </c>
      <c r="H232" s="9">
        <v>9</v>
      </c>
      <c r="I232" s="23" t="s">
        <v>1240</v>
      </c>
      <c r="J232" s="35">
        <v>1</v>
      </c>
      <c r="K232" s="9"/>
      <c r="L232" s="9"/>
      <c r="M232" s="9"/>
      <c r="N232" s="9"/>
    </row>
    <row r="233" spans="1:14" x14ac:dyDescent="0.25">
      <c r="A233" s="29" t="s">
        <v>471</v>
      </c>
      <c r="B233" s="18" t="s">
        <v>1059</v>
      </c>
      <c r="C233" s="39" t="s">
        <v>472</v>
      </c>
      <c r="D233">
        <v>98</v>
      </c>
      <c r="E233" s="15" t="s">
        <v>473</v>
      </c>
      <c r="F233" s="42" t="s">
        <v>1243</v>
      </c>
      <c r="G233" s="12">
        <v>2.1976559999999998</v>
      </c>
      <c r="H233">
        <v>3</v>
      </c>
      <c r="I233" s="22" t="s">
        <v>1240</v>
      </c>
      <c r="J233" s="36">
        <v>1</v>
      </c>
      <c r="K233">
        <f t="shared" ref="K233" si="130">COUNTIF(F233:F235,"t")</f>
        <v>1</v>
      </c>
      <c r="L233">
        <f t="shared" ref="L233" si="131">K233-K218</f>
        <v>1</v>
      </c>
    </row>
    <row r="234" spans="1:14" x14ac:dyDescent="0.25">
      <c r="A234" s="29" t="s">
        <v>474</v>
      </c>
      <c r="B234" s="18" t="s">
        <v>1059</v>
      </c>
      <c r="C234" s="39" t="s">
        <v>472</v>
      </c>
      <c r="D234">
        <v>98</v>
      </c>
      <c r="E234" s="15" t="s">
        <v>475</v>
      </c>
      <c r="F234" s="42" t="s">
        <v>1244</v>
      </c>
      <c r="G234" s="12">
        <v>0.70886300000000002</v>
      </c>
      <c r="H234">
        <v>5</v>
      </c>
      <c r="I234" s="22" t="s">
        <v>1240</v>
      </c>
      <c r="J234" s="36">
        <v>1</v>
      </c>
    </row>
    <row r="235" spans="1:14" s="9" customFormat="1" x14ac:dyDescent="0.25">
      <c r="A235" s="30" t="s">
        <v>476</v>
      </c>
      <c r="B235" s="17" t="s">
        <v>1059</v>
      </c>
      <c r="C235" s="38" t="s">
        <v>472</v>
      </c>
      <c r="D235" s="9">
        <v>98</v>
      </c>
      <c r="E235" s="14" t="s">
        <v>475</v>
      </c>
      <c r="F235" s="41" t="s">
        <v>1244</v>
      </c>
      <c r="G235" s="11">
        <v>0.718885</v>
      </c>
      <c r="H235" s="9">
        <v>5</v>
      </c>
      <c r="I235" s="23" t="s">
        <v>1240</v>
      </c>
      <c r="J235" s="35">
        <v>1</v>
      </c>
    </row>
    <row r="236" spans="1:14" x14ac:dyDescent="0.25">
      <c r="A236" s="25" t="s">
        <v>477</v>
      </c>
      <c r="B236" s="18" t="s">
        <v>1054</v>
      </c>
      <c r="C236" s="39" t="s">
        <v>478</v>
      </c>
      <c r="D236">
        <v>169</v>
      </c>
      <c r="E236" s="15" t="s">
        <v>479</v>
      </c>
      <c r="F236" s="42" t="s">
        <v>1243</v>
      </c>
      <c r="G236" s="12">
        <v>1.2467779999999999</v>
      </c>
      <c r="H236">
        <v>4</v>
      </c>
      <c r="K236">
        <f t="shared" ref="K236" si="132">COUNTIF(F236:F238,"t")</f>
        <v>2</v>
      </c>
    </row>
    <row r="237" spans="1:14" x14ac:dyDescent="0.25">
      <c r="A237" s="25" t="s">
        <v>480</v>
      </c>
      <c r="B237" s="18" t="s">
        <v>1054</v>
      </c>
      <c r="C237" s="39" t="s">
        <v>478</v>
      </c>
      <c r="D237">
        <v>169</v>
      </c>
      <c r="E237" s="15" t="s">
        <v>479</v>
      </c>
      <c r="F237" s="42" t="s">
        <v>1243</v>
      </c>
      <c r="G237" s="12">
        <v>0.55234499999999997</v>
      </c>
      <c r="H237">
        <v>4</v>
      </c>
    </row>
    <row r="238" spans="1:14" x14ac:dyDescent="0.25">
      <c r="A238" s="25" t="s">
        <v>481</v>
      </c>
      <c r="B238" s="18" t="s">
        <v>1054</v>
      </c>
      <c r="C238" s="39" t="s">
        <v>478</v>
      </c>
      <c r="D238">
        <v>169</v>
      </c>
      <c r="E238" s="15" t="s">
        <v>482</v>
      </c>
      <c r="F238" s="42" t="s">
        <v>1244</v>
      </c>
      <c r="G238" s="12">
        <v>2.8631739999999999</v>
      </c>
      <c r="H238">
        <v>17</v>
      </c>
    </row>
    <row r="239" spans="1:14" x14ac:dyDescent="0.25">
      <c r="A239" s="26" t="s">
        <v>483</v>
      </c>
      <c r="B239" s="18" t="s">
        <v>1055</v>
      </c>
      <c r="C239" s="39" t="s">
        <v>484</v>
      </c>
      <c r="D239">
        <v>195</v>
      </c>
      <c r="E239" s="15" t="s">
        <v>485</v>
      </c>
      <c r="F239" s="42" t="s">
        <v>1244</v>
      </c>
      <c r="G239" s="12">
        <v>3.3157830000000001</v>
      </c>
      <c r="H239">
        <v>16</v>
      </c>
      <c r="K239">
        <f t="shared" ref="K239" si="133">COUNTIF(F239:F241,"t")</f>
        <v>0</v>
      </c>
      <c r="L239">
        <f t="shared" ref="L239" si="134">K239-K236</f>
        <v>-2</v>
      </c>
    </row>
    <row r="240" spans="1:14" x14ac:dyDescent="0.25">
      <c r="A240" s="26" t="s">
        <v>486</v>
      </c>
      <c r="B240" s="18" t="s">
        <v>1055</v>
      </c>
      <c r="C240" s="39" t="s">
        <v>484</v>
      </c>
      <c r="D240">
        <v>195</v>
      </c>
      <c r="E240" s="15" t="s">
        <v>487</v>
      </c>
      <c r="F240" s="42" t="s">
        <v>1244</v>
      </c>
      <c r="G240" s="12">
        <v>0.61119500000000004</v>
      </c>
      <c r="H240">
        <v>4</v>
      </c>
    </row>
    <row r="241" spans="1:14" x14ac:dyDescent="0.25">
      <c r="A241" s="26" t="s">
        <v>488</v>
      </c>
      <c r="B241" s="18" t="s">
        <v>1055</v>
      </c>
      <c r="C241" s="39" t="s">
        <v>484</v>
      </c>
      <c r="D241">
        <v>195</v>
      </c>
      <c r="E241" s="15" t="s">
        <v>487</v>
      </c>
      <c r="F241" s="42" t="s">
        <v>1244</v>
      </c>
      <c r="G241" s="12">
        <v>0.60439399999999999</v>
      </c>
      <c r="H241">
        <v>4</v>
      </c>
    </row>
    <row r="242" spans="1:14" x14ac:dyDescent="0.25">
      <c r="A242" s="27" t="s">
        <v>489</v>
      </c>
      <c r="B242" s="18" t="s">
        <v>1056</v>
      </c>
      <c r="C242" s="39" t="s">
        <v>490</v>
      </c>
      <c r="D242">
        <v>134</v>
      </c>
      <c r="E242" s="15" t="s">
        <v>487</v>
      </c>
      <c r="F242" s="42" t="s">
        <v>1244</v>
      </c>
      <c r="G242" s="12">
        <v>25.359579</v>
      </c>
      <c r="H242">
        <v>4</v>
      </c>
      <c r="K242">
        <f t="shared" ref="K242" si="135">COUNTIF(F242:F244,"t")</f>
        <v>2</v>
      </c>
      <c r="L242">
        <f t="shared" ref="L242" si="136">K242-K236</f>
        <v>0</v>
      </c>
    </row>
    <row r="243" spans="1:14" x14ac:dyDescent="0.25">
      <c r="A243" s="27" t="s">
        <v>491</v>
      </c>
      <c r="B243" s="18" t="s">
        <v>1056</v>
      </c>
      <c r="C243" s="39" t="s">
        <v>492</v>
      </c>
      <c r="D243">
        <v>137</v>
      </c>
      <c r="E243" s="15" t="s">
        <v>479</v>
      </c>
      <c r="F243" s="42" t="s">
        <v>1243</v>
      </c>
      <c r="G243" s="12">
        <v>24.821273999999999</v>
      </c>
      <c r="H243">
        <v>4</v>
      </c>
    </row>
    <row r="244" spans="1:14" x14ac:dyDescent="0.25">
      <c r="A244" s="28" t="s">
        <v>493</v>
      </c>
      <c r="B244" s="17" t="s">
        <v>1056</v>
      </c>
      <c r="C244" s="38" t="s">
        <v>494</v>
      </c>
      <c r="D244" s="9">
        <v>141</v>
      </c>
      <c r="E244" s="14" t="s">
        <v>479</v>
      </c>
      <c r="F244" s="41" t="s">
        <v>1243</v>
      </c>
      <c r="G244" s="11">
        <v>26.768891</v>
      </c>
      <c r="H244" s="9">
        <v>4</v>
      </c>
      <c r="I244" s="20"/>
      <c r="J244" s="35"/>
      <c r="K244" s="9"/>
      <c r="L244" s="9"/>
      <c r="M244" s="9"/>
      <c r="N244" s="9"/>
    </row>
    <row r="245" spans="1:14" x14ac:dyDescent="0.25">
      <c r="A245" s="29" t="s">
        <v>495</v>
      </c>
      <c r="B245" s="18" t="s">
        <v>1057</v>
      </c>
      <c r="C245" s="39" t="s">
        <v>496</v>
      </c>
      <c r="D245">
        <v>181</v>
      </c>
      <c r="E245" s="15" t="s">
        <v>479</v>
      </c>
      <c r="F245" s="42" t="s">
        <v>1243</v>
      </c>
      <c r="G245" s="12">
        <v>1.265455</v>
      </c>
      <c r="H245">
        <v>4</v>
      </c>
      <c r="I245" s="22" t="s">
        <v>1066</v>
      </c>
      <c r="J245" s="36">
        <v>1</v>
      </c>
      <c r="K245">
        <f t="shared" ref="K245" si="137">COUNTIF(F245:F247,"t")</f>
        <v>3</v>
      </c>
      <c r="L245">
        <f t="shared" ref="L245" si="138">K245-K236</f>
        <v>1</v>
      </c>
    </row>
    <row r="246" spans="1:14" x14ac:dyDescent="0.25">
      <c r="A246" s="29" t="s">
        <v>497</v>
      </c>
      <c r="B246" s="18" t="s">
        <v>1057</v>
      </c>
      <c r="C246" s="39" t="s">
        <v>496</v>
      </c>
      <c r="D246">
        <v>181</v>
      </c>
      <c r="E246" s="15" t="s">
        <v>498</v>
      </c>
      <c r="F246" s="42" t="s">
        <v>1243</v>
      </c>
      <c r="G246" s="12">
        <v>1.886266</v>
      </c>
      <c r="H246">
        <v>12</v>
      </c>
      <c r="I246" s="22" t="s">
        <v>1066</v>
      </c>
      <c r="J246" s="36">
        <v>1</v>
      </c>
    </row>
    <row r="247" spans="1:14" x14ac:dyDescent="0.25">
      <c r="A247" s="30" t="s">
        <v>499</v>
      </c>
      <c r="B247" s="17" t="s">
        <v>1057</v>
      </c>
      <c r="C247" s="38" t="s">
        <v>496</v>
      </c>
      <c r="D247" s="9">
        <v>181</v>
      </c>
      <c r="E247" s="14" t="s">
        <v>479</v>
      </c>
      <c r="F247" s="41" t="s">
        <v>1243</v>
      </c>
      <c r="G247" s="11">
        <v>0.60598300000000005</v>
      </c>
      <c r="H247" s="9">
        <v>4</v>
      </c>
      <c r="I247" s="23" t="s">
        <v>1066</v>
      </c>
      <c r="J247" s="35">
        <v>1</v>
      </c>
      <c r="K247" s="9"/>
      <c r="L247" s="9"/>
      <c r="M247" s="9"/>
      <c r="N247" s="9"/>
    </row>
    <row r="248" spans="1:14" x14ac:dyDescent="0.25">
      <c r="A248" s="31" t="s">
        <v>500</v>
      </c>
      <c r="B248" s="19" t="s">
        <v>1058</v>
      </c>
      <c r="C248" s="40" t="s">
        <v>501</v>
      </c>
      <c r="D248" s="10">
        <v>179</v>
      </c>
      <c r="E248" s="16" t="s">
        <v>502</v>
      </c>
      <c r="F248" s="43" t="s">
        <v>1244</v>
      </c>
      <c r="G248" s="13">
        <v>4.6608140000000002</v>
      </c>
      <c r="H248" s="10">
        <v>17</v>
      </c>
      <c r="I248" s="24" t="s">
        <v>1240</v>
      </c>
      <c r="J248" s="37">
        <v>1</v>
      </c>
      <c r="K248">
        <f t="shared" ref="K248" si="139">COUNTIF(F248:F250,"t")</f>
        <v>0</v>
      </c>
      <c r="L248" s="10">
        <f t="shared" ref="L248" si="140">K248-K236</f>
        <v>-2</v>
      </c>
      <c r="M248" s="10"/>
      <c r="N248" s="10"/>
    </row>
    <row r="249" spans="1:14" x14ac:dyDescent="0.25">
      <c r="A249" s="29" t="s">
        <v>503</v>
      </c>
      <c r="B249" s="18" t="s">
        <v>1058</v>
      </c>
      <c r="C249" s="39" t="s">
        <v>501</v>
      </c>
      <c r="D249">
        <v>179</v>
      </c>
      <c r="E249" s="15" t="s">
        <v>504</v>
      </c>
      <c r="F249" s="42" t="s">
        <v>1244</v>
      </c>
      <c r="G249" s="12">
        <v>3.8068909999999998</v>
      </c>
      <c r="H249">
        <v>22</v>
      </c>
      <c r="I249" s="22" t="s">
        <v>1240</v>
      </c>
      <c r="J249" s="36">
        <v>1</v>
      </c>
    </row>
    <row r="250" spans="1:14" x14ac:dyDescent="0.25">
      <c r="A250" s="30" t="s">
        <v>505</v>
      </c>
      <c r="B250" s="17" t="s">
        <v>1058</v>
      </c>
      <c r="C250" s="38" t="s">
        <v>501</v>
      </c>
      <c r="D250" s="9">
        <v>179</v>
      </c>
      <c r="E250" s="14" t="s">
        <v>506</v>
      </c>
      <c r="F250" s="41" t="s">
        <v>1244</v>
      </c>
      <c r="G250" s="11">
        <v>2.685505</v>
      </c>
      <c r="H250" s="9">
        <v>14</v>
      </c>
      <c r="I250" s="23" t="s">
        <v>1240</v>
      </c>
      <c r="J250" s="35">
        <v>1</v>
      </c>
      <c r="K250" s="9"/>
      <c r="L250" s="9"/>
      <c r="M250" s="9"/>
      <c r="N250" s="9"/>
    </row>
    <row r="251" spans="1:14" x14ac:dyDescent="0.25">
      <c r="A251" s="29" t="s">
        <v>507</v>
      </c>
      <c r="B251" s="18" t="s">
        <v>1059</v>
      </c>
      <c r="C251" s="39" t="s">
        <v>508</v>
      </c>
      <c r="D251">
        <v>183</v>
      </c>
      <c r="E251" s="15" t="s">
        <v>498</v>
      </c>
      <c r="F251" s="42" t="s">
        <v>1243</v>
      </c>
      <c r="G251" s="12">
        <v>4.7403750000000002</v>
      </c>
      <c r="H251">
        <v>12</v>
      </c>
      <c r="I251" s="22" t="s">
        <v>1240</v>
      </c>
      <c r="J251" s="36">
        <v>2</v>
      </c>
      <c r="K251">
        <f t="shared" ref="K251" si="141">COUNTIF(F251:F253,"t")</f>
        <v>1</v>
      </c>
      <c r="L251">
        <f t="shared" ref="L251" si="142">K251-K236</f>
        <v>-1</v>
      </c>
    </row>
    <row r="252" spans="1:14" x14ac:dyDescent="0.25">
      <c r="A252" s="29" t="s">
        <v>509</v>
      </c>
      <c r="B252" s="18" t="s">
        <v>1059</v>
      </c>
      <c r="C252" s="39" t="s">
        <v>508</v>
      </c>
      <c r="D252">
        <v>183</v>
      </c>
      <c r="E252" s="15" t="s">
        <v>510</v>
      </c>
      <c r="F252" s="42" t="s">
        <v>1244</v>
      </c>
      <c r="G252" s="12">
        <v>1.968982</v>
      </c>
      <c r="H252">
        <v>12</v>
      </c>
      <c r="I252" s="22" t="s">
        <v>1240</v>
      </c>
      <c r="J252" s="36">
        <v>2</v>
      </c>
    </row>
    <row r="253" spans="1:14" s="9" customFormat="1" x14ac:dyDescent="0.25">
      <c r="A253" s="30" t="s">
        <v>511</v>
      </c>
      <c r="B253" s="17" t="s">
        <v>1059</v>
      </c>
      <c r="C253" s="38" t="s">
        <v>508</v>
      </c>
      <c r="D253" s="9">
        <v>183</v>
      </c>
      <c r="E253" s="14" t="s">
        <v>510</v>
      </c>
      <c r="F253" s="41" t="s">
        <v>1244</v>
      </c>
      <c r="G253" s="11">
        <v>2.2210770000000002</v>
      </c>
      <c r="H253" s="9">
        <v>12</v>
      </c>
      <c r="I253" s="23" t="s">
        <v>1240</v>
      </c>
      <c r="J253" s="35">
        <v>2</v>
      </c>
    </row>
    <row r="254" spans="1:14" x14ac:dyDescent="0.25">
      <c r="A254" s="25" t="s">
        <v>512</v>
      </c>
      <c r="B254" s="18" t="s">
        <v>1054</v>
      </c>
      <c r="C254" s="39" t="s">
        <v>513</v>
      </c>
      <c r="D254">
        <v>116</v>
      </c>
      <c r="E254" s="15" t="s">
        <v>514</v>
      </c>
      <c r="F254" s="42" t="s">
        <v>1243</v>
      </c>
      <c r="G254" s="12">
        <v>1.3978280000000001</v>
      </c>
      <c r="H254">
        <v>5</v>
      </c>
      <c r="K254">
        <f t="shared" ref="K254" si="143">COUNTIF(F254:F256,"t")</f>
        <v>3</v>
      </c>
    </row>
    <row r="255" spans="1:14" x14ac:dyDescent="0.25">
      <c r="A255" s="25" t="s">
        <v>515</v>
      </c>
      <c r="B255" s="18" t="s">
        <v>1054</v>
      </c>
      <c r="C255" s="39" t="s">
        <v>513</v>
      </c>
      <c r="D255">
        <v>116</v>
      </c>
      <c r="E255" s="15" t="s">
        <v>514</v>
      </c>
      <c r="F255" s="42" t="s">
        <v>1243</v>
      </c>
      <c r="G255" s="12">
        <v>0.70635499999999996</v>
      </c>
      <c r="H255">
        <v>5</v>
      </c>
    </row>
    <row r="256" spans="1:14" x14ac:dyDescent="0.25">
      <c r="A256" s="25" t="s">
        <v>516</v>
      </c>
      <c r="B256" s="18" t="s">
        <v>1054</v>
      </c>
      <c r="C256" s="39" t="s">
        <v>513</v>
      </c>
      <c r="D256">
        <v>116</v>
      </c>
      <c r="E256" s="15" t="s">
        <v>514</v>
      </c>
      <c r="F256" s="42" t="s">
        <v>1243</v>
      </c>
      <c r="G256" s="12">
        <v>0.73436599999999996</v>
      </c>
      <c r="H256">
        <v>5</v>
      </c>
    </row>
    <row r="257" spans="1:14" x14ac:dyDescent="0.25">
      <c r="A257" s="26" t="s">
        <v>517</v>
      </c>
      <c r="B257" s="18" t="s">
        <v>1055</v>
      </c>
      <c r="C257" s="39" t="s">
        <v>518</v>
      </c>
      <c r="D257">
        <v>139</v>
      </c>
      <c r="E257" s="15" t="s">
        <v>519</v>
      </c>
      <c r="F257" s="42" t="s">
        <v>1243</v>
      </c>
      <c r="G257" s="12">
        <v>1.258437</v>
      </c>
      <c r="H257">
        <v>4</v>
      </c>
      <c r="K257">
        <f t="shared" ref="K257" si="144">COUNTIF(F257:F259,"t")</f>
        <v>3</v>
      </c>
      <c r="L257">
        <f t="shared" ref="L257" si="145">K257-K254</f>
        <v>0</v>
      </c>
    </row>
    <row r="258" spans="1:14" x14ac:dyDescent="0.25">
      <c r="A258" s="26" t="s">
        <v>520</v>
      </c>
      <c r="B258" s="18" t="s">
        <v>1055</v>
      </c>
      <c r="C258" s="39" t="s">
        <v>518</v>
      </c>
      <c r="D258">
        <v>139</v>
      </c>
      <c r="E258" s="15" t="s">
        <v>514</v>
      </c>
      <c r="F258" s="42" t="s">
        <v>1243</v>
      </c>
      <c r="G258" s="12">
        <v>0.70941100000000001</v>
      </c>
      <c r="H258">
        <v>5</v>
      </c>
    </row>
    <row r="259" spans="1:14" x14ac:dyDescent="0.25">
      <c r="A259" s="26" t="s">
        <v>521</v>
      </c>
      <c r="B259" s="18" t="s">
        <v>1055</v>
      </c>
      <c r="C259" s="39" t="s">
        <v>518</v>
      </c>
      <c r="D259">
        <v>139</v>
      </c>
      <c r="E259" s="15" t="s">
        <v>514</v>
      </c>
      <c r="F259" s="42" t="s">
        <v>1243</v>
      </c>
      <c r="G259" s="12">
        <v>0.73089999999999999</v>
      </c>
      <c r="H259">
        <v>5</v>
      </c>
    </row>
    <row r="260" spans="1:14" x14ac:dyDescent="0.25">
      <c r="A260" s="27" t="s">
        <v>522</v>
      </c>
      <c r="B260" s="18" t="s">
        <v>1056</v>
      </c>
      <c r="C260" s="39" t="s">
        <v>523</v>
      </c>
      <c r="D260">
        <v>153</v>
      </c>
      <c r="E260" s="15" t="s">
        <v>21</v>
      </c>
      <c r="F260" s="42" t="s">
        <v>1243</v>
      </c>
      <c r="G260" s="12">
        <v>28.875847</v>
      </c>
      <c r="H260">
        <v>3</v>
      </c>
      <c r="K260">
        <f t="shared" ref="K260" si="146">COUNTIF(F260:F262,"t")</f>
        <v>2</v>
      </c>
      <c r="L260">
        <f t="shared" ref="L260" si="147">K260-K254</f>
        <v>-1</v>
      </c>
    </row>
    <row r="261" spans="1:14" x14ac:dyDescent="0.25">
      <c r="A261" s="27" t="s">
        <v>524</v>
      </c>
      <c r="B261" s="18" t="s">
        <v>1056</v>
      </c>
      <c r="C261" s="39" t="s">
        <v>525</v>
      </c>
      <c r="D261">
        <v>156</v>
      </c>
      <c r="E261" s="15" t="s">
        <v>526</v>
      </c>
      <c r="F261" s="42" t="s">
        <v>1244</v>
      </c>
      <c r="G261" s="12">
        <v>29.481938</v>
      </c>
      <c r="H261">
        <v>3</v>
      </c>
    </row>
    <row r="262" spans="1:14" x14ac:dyDescent="0.25">
      <c r="A262" s="28" t="s">
        <v>527</v>
      </c>
      <c r="B262" s="17" t="s">
        <v>1056</v>
      </c>
      <c r="C262" s="38" t="s">
        <v>528</v>
      </c>
      <c r="D262" s="9">
        <v>167</v>
      </c>
      <c r="E262" s="14" t="s">
        <v>529</v>
      </c>
      <c r="F262" s="41" t="s">
        <v>1243</v>
      </c>
      <c r="G262" s="11">
        <v>33.648535000000003</v>
      </c>
      <c r="H262" s="9">
        <v>20</v>
      </c>
      <c r="I262" s="20"/>
      <c r="J262" s="35"/>
      <c r="K262" s="9"/>
      <c r="L262" s="9"/>
      <c r="M262" s="9"/>
      <c r="N262" s="9"/>
    </row>
    <row r="263" spans="1:14" x14ac:dyDescent="0.25">
      <c r="A263" s="29" t="s">
        <v>530</v>
      </c>
      <c r="B263" s="18" t="s">
        <v>1057</v>
      </c>
      <c r="C263" s="39" t="s">
        <v>531</v>
      </c>
      <c r="D263">
        <v>131</v>
      </c>
      <c r="E263" s="15" t="s">
        <v>21</v>
      </c>
      <c r="F263" s="42" t="s">
        <v>1243</v>
      </c>
      <c r="G263" s="12">
        <v>1.0612969999999999</v>
      </c>
      <c r="H263">
        <v>3</v>
      </c>
      <c r="I263" s="22" t="s">
        <v>1063</v>
      </c>
      <c r="J263" s="36">
        <v>-1</v>
      </c>
      <c r="K263">
        <f t="shared" ref="K263" si="148">COUNTIF(F263:F265,"t")</f>
        <v>3</v>
      </c>
      <c r="L263">
        <f t="shared" ref="L263" si="149">K263-K254</f>
        <v>0</v>
      </c>
    </row>
    <row r="264" spans="1:14" x14ac:dyDescent="0.25">
      <c r="A264" s="29" t="s">
        <v>532</v>
      </c>
      <c r="B264" s="18" t="s">
        <v>1057</v>
      </c>
      <c r="C264" s="39" t="s">
        <v>531</v>
      </c>
      <c r="D264">
        <v>131</v>
      </c>
      <c r="E264" s="15" t="s">
        <v>21</v>
      </c>
      <c r="F264" s="42" t="s">
        <v>1243</v>
      </c>
      <c r="G264" s="12">
        <v>0.397864</v>
      </c>
      <c r="H264">
        <v>3</v>
      </c>
      <c r="I264" s="22" t="s">
        <v>1063</v>
      </c>
      <c r="J264" s="36">
        <v>-1</v>
      </c>
    </row>
    <row r="265" spans="1:14" x14ac:dyDescent="0.25">
      <c r="A265" s="30" t="s">
        <v>533</v>
      </c>
      <c r="B265" s="17" t="s">
        <v>1057</v>
      </c>
      <c r="C265" s="38" t="s">
        <v>531</v>
      </c>
      <c r="D265" s="9">
        <v>131</v>
      </c>
      <c r="E265" s="14" t="s">
        <v>21</v>
      </c>
      <c r="F265" s="41" t="s">
        <v>1243</v>
      </c>
      <c r="G265" s="11">
        <v>0.39694600000000002</v>
      </c>
      <c r="H265" s="9">
        <v>3</v>
      </c>
      <c r="I265" s="23" t="s">
        <v>1063</v>
      </c>
      <c r="J265" s="35">
        <v>-1</v>
      </c>
      <c r="K265" s="9"/>
      <c r="L265" s="9"/>
      <c r="M265" s="9"/>
      <c r="N265" s="9"/>
    </row>
    <row r="266" spans="1:14" x14ac:dyDescent="0.25">
      <c r="A266" s="31" t="s">
        <v>534</v>
      </c>
      <c r="B266" s="19" t="s">
        <v>1058</v>
      </c>
      <c r="C266" s="40" t="s">
        <v>535</v>
      </c>
      <c r="D266" s="10">
        <v>134</v>
      </c>
      <c r="E266" s="16" t="s">
        <v>536</v>
      </c>
      <c r="F266" s="43" t="s">
        <v>1243</v>
      </c>
      <c r="G266" s="13">
        <v>4.493309</v>
      </c>
      <c r="H266" s="10">
        <v>10</v>
      </c>
      <c r="I266" s="24" t="s">
        <v>1066</v>
      </c>
      <c r="J266" s="37">
        <v>1</v>
      </c>
      <c r="K266">
        <f t="shared" ref="K266" si="150">COUNTIF(F266:F268,"t")</f>
        <v>3</v>
      </c>
      <c r="L266" s="10">
        <f t="shared" ref="L266" si="151">K266-K254</f>
        <v>0</v>
      </c>
      <c r="M266" s="10"/>
      <c r="N266" s="10"/>
    </row>
    <row r="267" spans="1:14" x14ac:dyDescent="0.25">
      <c r="A267" s="29" t="s">
        <v>537</v>
      </c>
      <c r="B267" s="18" t="s">
        <v>1058</v>
      </c>
      <c r="C267" s="39" t="s">
        <v>535</v>
      </c>
      <c r="D267">
        <v>134</v>
      </c>
      <c r="E267" s="15" t="s">
        <v>538</v>
      </c>
      <c r="F267" s="42" t="s">
        <v>1243</v>
      </c>
      <c r="G267" s="12">
        <v>1.76617</v>
      </c>
      <c r="H267">
        <v>11</v>
      </c>
      <c r="I267" s="22" t="s">
        <v>1066</v>
      </c>
      <c r="J267" s="36">
        <v>1</v>
      </c>
    </row>
    <row r="268" spans="1:14" x14ac:dyDescent="0.25">
      <c r="A268" s="30" t="s">
        <v>539</v>
      </c>
      <c r="B268" s="17" t="s">
        <v>1058</v>
      </c>
      <c r="C268" s="38" t="s">
        <v>535</v>
      </c>
      <c r="D268" s="9">
        <v>134</v>
      </c>
      <c r="E268" s="14" t="s">
        <v>519</v>
      </c>
      <c r="F268" s="41" t="s">
        <v>1243</v>
      </c>
      <c r="G268" s="11">
        <v>0.60731500000000005</v>
      </c>
      <c r="H268" s="9">
        <v>4</v>
      </c>
      <c r="I268" s="23" t="s">
        <v>1066</v>
      </c>
      <c r="J268" s="35">
        <v>1</v>
      </c>
      <c r="K268" s="9"/>
      <c r="L268" s="9"/>
      <c r="M268" s="9"/>
      <c r="N268" s="9"/>
    </row>
    <row r="269" spans="1:14" x14ac:dyDescent="0.25">
      <c r="A269" s="29" t="s">
        <v>540</v>
      </c>
      <c r="B269" s="18" t="s">
        <v>1059</v>
      </c>
      <c r="C269" s="39" t="s">
        <v>541</v>
      </c>
      <c r="D269">
        <v>135</v>
      </c>
      <c r="E269" s="15" t="s">
        <v>538</v>
      </c>
      <c r="F269" s="42" t="s">
        <v>1243</v>
      </c>
      <c r="G269" s="12">
        <v>5.228675</v>
      </c>
      <c r="H269">
        <v>11</v>
      </c>
      <c r="I269" s="22" t="s">
        <v>1066</v>
      </c>
      <c r="J269" s="36">
        <v>1</v>
      </c>
      <c r="K269">
        <f t="shared" ref="K269" si="152">COUNTIF(F269:F271,"t")</f>
        <v>3</v>
      </c>
      <c r="L269">
        <f t="shared" ref="L269" si="153">K269-K254</f>
        <v>0</v>
      </c>
    </row>
    <row r="270" spans="1:14" x14ac:dyDescent="0.25">
      <c r="A270" s="29" t="s">
        <v>542</v>
      </c>
      <c r="B270" s="18" t="s">
        <v>1059</v>
      </c>
      <c r="C270" s="39" t="s">
        <v>541</v>
      </c>
      <c r="D270">
        <v>135</v>
      </c>
      <c r="E270" s="15" t="s">
        <v>519</v>
      </c>
      <c r="F270" s="42" t="s">
        <v>1243</v>
      </c>
      <c r="G270" s="12">
        <v>0.55786000000000002</v>
      </c>
      <c r="H270">
        <v>4</v>
      </c>
      <c r="I270" s="22" t="s">
        <v>1066</v>
      </c>
      <c r="J270" s="36">
        <v>1</v>
      </c>
    </row>
    <row r="271" spans="1:14" s="9" customFormat="1" x14ac:dyDescent="0.25">
      <c r="A271" s="30" t="s">
        <v>543</v>
      </c>
      <c r="B271" s="17" t="s">
        <v>1059</v>
      </c>
      <c r="C271" s="38" t="s">
        <v>541</v>
      </c>
      <c r="D271" s="9">
        <v>135</v>
      </c>
      <c r="E271" s="14" t="s">
        <v>519</v>
      </c>
      <c r="F271" s="41" t="s">
        <v>1243</v>
      </c>
      <c r="G271" s="11">
        <v>0.553894</v>
      </c>
      <c r="H271" s="9">
        <v>4</v>
      </c>
      <c r="I271" s="23" t="s">
        <v>1066</v>
      </c>
      <c r="J271" s="35">
        <v>1</v>
      </c>
    </row>
    <row r="272" spans="1:14" ht="120" x14ac:dyDescent="0.25">
      <c r="A272" s="25" t="s">
        <v>544</v>
      </c>
      <c r="B272" s="18" t="s">
        <v>1054</v>
      </c>
      <c r="C272" s="68" t="s">
        <v>545</v>
      </c>
      <c r="D272">
        <v>95</v>
      </c>
      <c r="E272" s="15" t="s">
        <v>546</v>
      </c>
      <c r="F272" s="42" t="s">
        <v>1243</v>
      </c>
      <c r="G272" s="12">
        <v>4.4401849999999996</v>
      </c>
      <c r="H272">
        <v>23</v>
      </c>
      <c r="K272">
        <f t="shared" ref="K272" si="154">COUNTIF(F272:F274,"t")</f>
        <v>3</v>
      </c>
    </row>
    <row r="273" spans="1:14" x14ac:dyDescent="0.25">
      <c r="A273" s="25" t="s">
        <v>547</v>
      </c>
      <c r="B273" s="18" t="s">
        <v>1054</v>
      </c>
      <c r="C273" s="39" t="s">
        <v>545</v>
      </c>
      <c r="D273">
        <v>95</v>
      </c>
      <c r="E273" s="15" t="s">
        <v>546</v>
      </c>
      <c r="F273" s="42" t="s">
        <v>1243</v>
      </c>
      <c r="G273" s="12">
        <v>4.284065</v>
      </c>
      <c r="H273">
        <v>23</v>
      </c>
    </row>
    <row r="274" spans="1:14" x14ac:dyDescent="0.25">
      <c r="A274" s="25" t="s">
        <v>548</v>
      </c>
      <c r="B274" s="18" t="s">
        <v>1054</v>
      </c>
      <c r="C274" s="39" t="s">
        <v>545</v>
      </c>
      <c r="D274">
        <v>95</v>
      </c>
      <c r="E274" s="15" t="s">
        <v>549</v>
      </c>
      <c r="F274" s="42" t="s">
        <v>1243</v>
      </c>
      <c r="G274" s="12">
        <v>3.4773839999999998</v>
      </c>
      <c r="H274">
        <v>22</v>
      </c>
    </row>
    <row r="275" spans="1:14" x14ac:dyDescent="0.25">
      <c r="A275" s="26" t="s">
        <v>550</v>
      </c>
      <c r="B275" s="18" t="s">
        <v>1055</v>
      </c>
      <c r="C275" s="39" t="s">
        <v>551</v>
      </c>
      <c r="D275">
        <v>121</v>
      </c>
      <c r="E275" s="15" t="s">
        <v>552</v>
      </c>
      <c r="F275" s="42" t="s">
        <v>1243</v>
      </c>
      <c r="G275" s="12">
        <v>2.8292440000000001</v>
      </c>
      <c r="H275">
        <v>14</v>
      </c>
      <c r="K275">
        <f t="shared" ref="K275" si="155">COUNTIF(F275:F277,"t")</f>
        <v>3</v>
      </c>
      <c r="L275">
        <f t="shared" ref="L275" si="156">K275-K272</f>
        <v>0</v>
      </c>
    </row>
    <row r="276" spans="1:14" x14ac:dyDescent="0.25">
      <c r="A276" s="26" t="s">
        <v>553</v>
      </c>
      <c r="B276" s="18" t="s">
        <v>1055</v>
      </c>
      <c r="C276" s="39" t="s">
        <v>551</v>
      </c>
      <c r="D276">
        <v>121</v>
      </c>
      <c r="E276" s="15" t="s">
        <v>552</v>
      </c>
      <c r="F276" s="42" t="s">
        <v>1243</v>
      </c>
      <c r="G276" s="12">
        <v>2.347906</v>
      </c>
      <c r="H276">
        <v>14</v>
      </c>
    </row>
    <row r="277" spans="1:14" x14ac:dyDescent="0.25">
      <c r="A277" s="26" t="s">
        <v>554</v>
      </c>
      <c r="B277" s="18" t="s">
        <v>1055</v>
      </c>
      <c r="C277" s="39" t="s">
        <v>551</v>
      </c>
      <c r="D277">
        <v>121</v>
      </c>
      <c r="E277" s="15" t="s">
        <v>552</v>
      </c>
      <c r="F277" s="42" t="s">
        <v>1243</v>
      </c>
      <c r="G277" s="12">
        <v>2.5878079999999999</v>
      </c>
      <c r="H277">
        <v>14</v>
      </c>
    </row>
    <row r="278" spans="1:14" x14ac:dyDescent="0.25">
      <c r="A278" s="27" t="s">
        <v>555</v>
      </c>
      <c r="B278" s="18" t="s">
        <v>1056</v>
      </c>
      <c r="C278" s="39" t="s">
        <v>556</v>
      </c>
      <c r="D278">
        <v>79</v>
      </c>
      <c r="E278" s="15" t="s">
        <v>557</v>
      </c>
      <c r="F278" s="42" t="s">
        <v>1244</v>
      </c>
      <c r="G278" s="12">
        <v>14.825879</v>
      </c>
      <c r="H278">
        <v>12</v>
      </c>
      <c r="K278">
        <f t="shared" ref="K278" si="157">COUNTIF(F278:F280,"t")</f>
        <v>2</v>
      </c>
      <c r="L278">
        <f t="shared" ref="L278" si="158">K278-K272</f>
        <v>-1</v>
      </c>
    </row>
    <row r="279" spans="1:14" x14ac:dyDescent="0.25">
      <c r="A279" s="27" t="s">
        <v>558</v>
      </c>
      <c r="B279" s="18" t="s">
        <v>1056</v>
      </c>
      <c r="C279" s="39" t="s">
        <v>559</v>
      </c>
      <c r="D279">
        <v>75</v>
      </c>
      <c r="E279" s="15" t="s">
        <v>560</v>
      </c>
      <c r="F279" s="42" t="s">
        <v>1243</v>
      </c>
      <c r="G279" s="12">
        <v>14.222174000000001</v>
      </c>
      <c r="H279">
        <v>12</v>
      </c>
    </row>
    <row r="280" spans="1:14" x14ac:dyDescent="0.25">
      <c r="A280" s="28" t="s">
        <v>561</v>
      </c>
      <c r="B280" s="17" t="s">
        <v>1056</v>
      </c>
      <c r="C280" s="38" t="s">
        <v>562</v>
      </c>
      <c r="D280" s="9">
        <v>97</v>
      </c>
      <c r="E280" s="14" t="s">
        <v>563</v>
      </c>
      <c r="F280" s="41" t="s">
        <v>1243</v>
      </c>
      <c r="G280" s="11">
        <v>21.009544000000002</v>
      </c>
      <c r="H280" s="9">
        <v>25</v>
      </c>
      <c r="I280" s="20"/>
      <c r="J280" s="35"/>
      <c r="K280" s="9"/>
      <c r="L280" s="9"/>
      <c r="M280" s="9"/>
      <c r="N280" s="9"/>
    </row>
    <row r="281" spans="1:14" ht="135" x14ac:dyDescent="0.25">
      <c r="A281" s="29" t="s">
        <v>564</v>
      </c>
      <c r="B281" s="18" t="s">
        <v>1057</v>
      </c>
      <c r="C281" s="68" t="s">
        <v>565</v>
      </c>
      <c r="D281">
        <v>110</v>
      </c>
      <c r="E281" s="15" t="s">
        <v>546</v>
      </c>
      <c r="F281" s="42" t="s">
        <v>1243</v>
      </c>
      <c r="G281" s="12">
        <v>4.3975520000000001</v>
      </c>
      <c r="H281">
        <v>23</v>
      </c>
      <c r="I281" s="22" t="s">
        <v>1242</v>
      </c>
      <c r="J281" s="36">
        <v>2</v>
      </c>
      <c r="K281">
        <f t="shared" ref="K281" si="159">COUNTIF(F281:F283,"t")</f>
        <v>3</v>
      </c>
      <c r="L281">
        <f t="shared" ref="L281" si="160">K281-K272</f>
        <v>0</v>
      </c>
    </row>
    <row r="282" spans="1:14" x14ac:dyDescent="0.25">
      <c r="A282" s="29" t="s">
        <v>566</v>
      </c>
      <c r="B282" s="18" t="s">
        <v>1057</v>
      </c>
      <c r="C282" s="39" t="s">
        <v>565</v>
      </c>
      <c r="D282">
        <v>110</v>
      </c>
      <c r="E282" s="15" t="s">
        <v>546</v>
      </c>
      <c r="F282" s="42" t="s">
        <v>1243</v>
      </c>
      <c r="G282" s="12">
        <v>4.3970289999999999</v>
      </c>
      <c r="H282">
        <v>23</v>
      </c>
      <c r="I282" s="22" t="s">
        <v>1242</v>
      </c>
      <c r="J282" s="36">
        <v>2</v>
      </c>
    </row>
    <row r="283" spans="1:14" x14ac:dyDescent="0.25">
      <c r="A283" s="30" t="s">
        <v>567</v>
      </c>
      <c r="B283" s="17" t="s">
        <v>1057</v>
      </c>
      <c r="C283" s="38" t="s">
        <v>565</v>
      </c>
      <c r="D283" s="9">
        <v>110</v>
      </c>
      <c r="E283" s="14" t="s">
        <v>552</v>
      </c>
      <c r="F283" s="41" t="s">
        <v>1243</v>
      </c>
      <c r="G283" s="11">
        <v>2.789777</v>
      </c>
      <c r="H283" s="9">
        <v>14</v>
      </c>
      <c r="I283" s="23" t="s">
        <v>1242</v>
      </c>
      <c r="J283" s="35">
        <v>2</v>
      </c>
      <c r="K283" s="9"/>
      <c r="L283" s="9"/>
      <c r="M283" s="9"/>
      <c r="N283" s="9"/>
    </row>
    <row r="284" spans="1:14" x14ac:dyDescent="0.25">
      <c r="A284" s="31" t="s">
        <v>568</v>
      </c>
      <c r="B284" s="19" t="s">
        <v>1058</v>
      </c>
      <c r="C284" s="40" t="s">
        <v>569</v>
      </c>
      <c r="D284" s="10">
        <v>112</v>
      </c>
      <c r="E284" s="16" t="s">
        <v>546</v>
      </c>
      <c r="F284" s="43" t="s">
        <v>1243</v>
      </c>
      <c r="G284" s="13">
        <v>6.5803250000000002</v>
      </c>
      <c r="H284" s="10">
        <v>23</v>
      </c>
      <c r="I284" s="24" t="s">
        <v>1065</v>
      </c>
      <c r="J284" s="37">
        <v>-1</v>
      </c>
      <c r="K284">
        <f t="shared" ref="K284" si="161">COUNTIF(F284:F286,"t")</f>
        <v>2</v>
      </c>
      <c r="L284" s="10">
        <f t="shared" ref="L284" si="162">K284-K272</f>
        <v>-1</v>
      </c>
      <c r="M284" s="10"/>
      <c r="N284" s="10"/>
    </row>
    <row r="285" spans="1:14" x14ac:dyDescent="0.25">
      <c r="A285" s="29" t="s">
        <v>570</v>
      </c>
      <c r="B285" s="18" t="s">
        <v>1058</v>
      </c>
      <c r="C285" s="39" t="s">
        <v>569</v>
      </c>
      <c r="D285">
        <v>112</v>
      </c>
      <c r="E285" s="15" t="s">
        <v>546</v>
      </c>
      <c r="F285" s="42" t="s">
        <v>1243</v>
      </c>
      <c r="G285" s="12">
        <v>4.5313350000000003</v>
      </c>
      <c r="H285">
        <v>23</v>
      </c>
      <c r="I285" s="22" t="s">
        <v>1065</v>
      </c>
      <c r="J285" s="36">
        <v>-1</v>
      </c>
    </row>
    <row r="286" spans="1:14" x14ac:dyDescent="0.25">
      <c r="A286" s="30" t="s">
        <v>571</v>
      </c>
      <c r="B286" s="17" t="s">
        <v>1058</v>
      </c>
      <c r="C286" s="38" t="s">
        <v>569</v>
      </c>
      <c r="D286" s="9">
        <v>112</v>
      </c>
      <c r="E286" s="14" t="s">
        <v>572</v>
      </c>
      <c r="F286" s="41" t="s">
        <v>1244</v>
      </c>
      <c r="G286" s="11">
        <v>4.1323429999999997</v>
      </c>
      <c r="H286" s="9">
        <v>19</v>
      </c>
      <c r="I286" s="23" t="s">
        <v>1065</v>
      </c>
      <c r="J286" s="35">
        <v>-1</v>
      </c>
      <c r="K286" s="9"/>
      <c r="L286" s="9"/>
      <c r="M286" s="9"/>
      <c r="N286" s="9"/>
    </row>
    <row r="287" spans="1:14" x14ac:dyDescent="0.25">
      <c r="A287" s="29" t="s">
        <v>573</v>
      </c>
      <c r="B287" s="18" t="s">
        <v>1059</v>
      </c>
      <c r="C287" s="39" t="s">
        <v>574</v>
      </c>
      <c r="D287">
        <v>113</v>
      </c>
      <c r="E287" s="15" t="s">
        <v>546</v>
      </c>
      <c r="F287" s="42" t="s">
        <v>1243</v>
      </c>
      <c r="G287" s="12">
        <v>6.7292170000000002</v>
      </c>
      <c r="H287">
        <v>23</v>
      </c>
      <c r="I287" s="22" t="s">
        <v>1240</v>
      </c>
      <c r="J287" s="36">
        <v>1</v>
      </c>
      <c r="K287">
        <f t="shared" ref="K287" si="163">COUNTIF(F287:F289,"t")</f>
        <v>3</v>
      </c>
      <c r="L287">
        <f t="shared" ref="L287" si="164">K287-K272</f>
        <v>0</v>
      </c>
    </row>
    <row r="288" spans="1:14" x14ac:dyDescent="0.25">
      <c r="A288" s="29" t="s">
        <v>575</v>
      </c>
      <c r="B288" s="18" t="s">
        <v>1059</v>
      </c>
      <c r="C288" s="39" t="s">
        <v>574</v>
      </c>
      <c r="D288">
        <v>113</v>
      </c>
      <c r="E288" s="15" t="s">
        <v>546</v>
      </c>
      <c r="F288" s="42" t="s">
        <v>1243</v>
      </c>
      <c r="G288" s="12">
        <v>4.5014539999999998</v>
      </c>
      <c r="H288">
        <v>23</v>
      </c>
      <c r="I288" s="22" t="s">
        <v>1240</v>
      </c>
      <c r="J288" s="36">
        <v>1</v>
      </c>
    </row>
    <row r="289" spans="1:14" s="9" customFormat="1" x14ac:dyDescent="0.25">
      <c r="A289" s="30" t="s">
        <v>576</v>
      </c>
      <c r="B289" s="17" t="s">
        <v>1059</v>
      </c>
      <c r="C289" s="38" t="s">
        <v>574</v>
      </c>
      <c r="D289" s="9">
        <v>113</v>
      </c>
      <c r="E289" s="14" t="s">
        <v>552</v>
      </c>
      <c r="F289" s="41" t="s">
        <v>1243</v>
      </c>
      <c r="G289" s="11">
        <v>2.841993</v>
      </c>
      <c r="H289" s="9">
        <v>14</v>
      </c>
      <c r="I289" s="23" t="s">
        <v>1240</v>
      </c>
      <c r="J289" s="35">
        <v>1</v>
      </c>
    </row>
    <row r="290" spans="1:14" x14ac:dyDescent="0.25">
      <c r="A290" s="25" t="s">
        <v>577</v>
      </c>
      <c r="B290" s="18" t="s">
        <v>1054</v>
      </c>
      <c r="C290" s="39" t="s">
        <v>578</v>
      </c>
      <c r="D290">
        <v>95</v>
      </c>
      <c r="E290" s="15" t="s">
        <v>579</v>
      </c>
      <c r="F290" s="42" t="s">
        <v>1244</v>
      </c>
      <c r="G290" s="12">
        <v>2.8923899999999998</v>
      </c>
      <c r="H290">
        <v>14</v>
      </c>
      <c r="K290">
        <f t="shared" ref="K290" si="165">COUNTIF(F290:F292,"t")</f>
        <v>0</v>
      </c>
    </row>
    <row r="291" spans="1:14" x14ac:dyDescent="0.25">
      <c r="A291" s="25" t="s">
        <v>580</v>
      </c>
      <c r="B291" s="18" t="s">
        <v>1054</v>
      </c>
      <c r="C291" s="39" t="s">
        <v>578</v>
      </c>
      <c r="D291">
        <v>95</v>
      </c>
      <c r="E291" s="15" t="s">
        <v>581</v>
      </c>
      <c r="F291" s="42" t="s">
        <v>1244</v>
      </c>
      <c r="G291" s="12">
        <v>4.0841120000000002</v>
      </c>
      <c r="H291">
        <v>23</v>
      </c>
    </row>
    <row r="292" spans="1:14" x14ac:dyDescent="0.25">
      <c r="A292" s="25" t="s">
        <v>582</v>
      </c>
      <c r="B292" s="18" t="s">
        <v>1054</v>
      </c>
      <c r="C292" s="39" t="s">
        <v>578</v>
      </c>
      <c r="D292">
        <v>95</v>
      </c>
      <c r="E292" s="15" t="s">
        <v>579</v>
      </c>
      <c r="F292" s="42" t="s">
        <v>1244</v>
      </c>
      <c r="G292" s="12">
        <v>2.7809680000000001</v>
      </c>
      <c r="H292">
        <v>14</v>
      </c>
    </row>
    <row r="293" spans="1:14" x14ac:dyDescent="0.25">
      <c r="A293" s="26" t="s">
        <v>583</v>
      </c>
      <c r="B293" s="18" t="s">
        <v>1055</v>
      </c>
      <c r="C293" s="39" t="s">
        <v>584</v>
      </c>
      <c r="D293">
        <v>121</v>
      </c>
      <c r="E293" s="15" t="s">
        <v>579</v>
      </c>
      <c r="F293" s="42" t="s">
        <v>1244</v>
      </c>
      <c r="G293" s="12">
        <v>2.8945609999999999</v>
      </c>
      <c r="H293">
        <v>14</v>
      </c>
      <c r="K293">
        <f t="shared" ref="K293" si="166">COUNTIF(F293:F295,"t")</f>
        <v>0</v>
      </c>
      <c r="L293">
        <f t="shared" ref="L293" si="167">K293-K290</f>
        <v>0</v>
      </c>
    </row>
    <row r="294" spans="1:14" x14ac:dyDescent="0.25">
      <c r="A294" s="26" t="s">
        <v>585</v>
      </c>
      <c r="B294" s="18" t="s">
        <v>1055</v>
      </c>
      <c r="C294" s="39" t="s">
        <v>584</v>
      </c>
      <c r="D294">
        <v>121</v>
      </c>
      <c r="E294" s="15" t="s">
        <v>579</v>
      </c>
      <c r="F294" s="42" t="s">
        <v>1244</v>
      </c>
      <c r="G294" s="12">
        <v>6.0848329999999997</v>
      </c>
      <c r="H294">
        <v>14</v>
      </c>
    </row>
    <row r="295" spans="1:14" x14ac:dyDescent="0.25">
      <c r="A295" s="26" t="s">
        <v>586</v>
      </c>
      <c r="B295" s="18" t="s">
        <v>1055</v>
      </c>
      <c r="C295" s="39" t="s">
        <v>584</v>
      </c>
      <c r="D295">
        <v>121</v>
      </c>
      <c r="E295" s="15" t="s">
        <v>579</v>
      </c>
      <c r="F295" s="42" t="s">
        <v>1244</v>
      </c>
      <c r="G295" s="12">
        <v>3.6089560000000001</v>
      </c>
      <c r="H295">
        <v>14</v>
      </c>
    </row>
    <row r="296" spans="1:14" x14ac:dyDescent="0.25">
      <c r="A296" s="27" t="s">
        <v>587</v>
      </c>
      <c r="B296" s="18" t="s">
        <v>1056</v>
      </c>
      <c r="C296" s="39" t="s">
        <v>588</v>
      </c>
      <c r="D296">
        <v>80</v>
      </c>
      <c r="E296" s="15" t="s">
        <v>560</v>
      </c>
      <c r="F296" s="42" t="s">
        <v>1243</v>
      </c>
      <c r="G296" s="12">
        <v>15.9931</v>
      </c>
      <c r="H296">
        <v>12</v>
      </c>
      <c r="K296">
        <f t="shared" ref="K296" si="168">COUNTIF(F296:F298,"t")</f>
        <v>2</v>
      </c>
      <c r="L296">
        <f t="shared" ref="L296" si="169">K296-K290</f>
        <v>2</v>
      </c>
    </row>
    <row r="297" spans="1:14" x14ac:dyDescent="0.25">
      <c r="A297" s="27" t="s">
        <v>589</v>
      </c>
      <c r="B297" s="18" t="s">
        <v>1056</v>
      </c>
      <c r="C297" s="39" t="s">
        <v>590</v>
      </c>
      <c r="D297">
        <v>84</v>
      </c>
      <c r="E297" s="15" t="s">
        <v>560</v>
      </c>
      <c r="F297" s="42" t="s">
        <v>1243</v>
      </c>
      <c r="G297" s="12">
        <v>14.757109</v>
      </c>
      <c r="H297">
        <v>12</v>
      </c>
    </row>
    <row r="298" spans="1:14" x14ac:dyDescent="0.25">
      <c r="A298" s="28" t="s">
        <v>591</v>
      </c>
      <c r="B298" s="17" t="s">
        <v>1056</v>
      </c>
      <c r="C298" s="38" t="s">
        <v>590</v>
      </c>
      <c r="D298" s="9">
        <v>84</v>
      </c>
      <c r="E298" s="14" t="s">
        <v>592</v>
      </c>
      <c r="F298" s="41" t="s">
        <v>1244</v>
      </c>
      <c r="G298" s="11">
        <v>15.720560000000001</v>
      </c>
      <c r="H298" s="9">
        <v>15</v>
      </c>
      <c r="I298" s="20"/>
      <c r="J298" s="35"/>
      <c r="K298" s="9"/>
      <c r="L298" s="9"/>
      <c r="M298" s="9"/>
      <c r="N298" s="9"/>
    </row>
    <row r="299" spans="1:14" x14ac:dyDescent="0.25">
      <c r="A299" s="29" t="s">
        <v>593</v>
      </c>
      <c r="B299" s="18" t="s">
        <v>1057</v>
      </c>
      <c r="C299" s="39" t="s">
        <v>594</v>
      </c>
      <c r="D299">
        <v>112</v>
      </c>
      <c r="E299" s="15" t="s">
        <v>581</v>
      </c>
      <c r="F299" s="42" t="s">
        <v>1244</v>
      </c>
      <c r="G299" s="12">
        <v>4.258953</v>
      </c>
      <c r="H299">
        <v>23</v>
      </c>
      <c r="I299" s="22" t="s">
        <v>1065</v>
      </c>
      <c r="J299" s="36">
        <v>-2</v>
      </c>
      <c r="K299">
        <f t="shared" ref="K299" si="170">COUNTIF(F299:F301,"t")</f>
        <v>0</v>
      </c>
      <c r="L299">
        <f t="shared" ref="L299" si="171">K299-K290</f>
        <v>0</v>
      </c>
    </row>
    <row r="300" spans="1:14" x14ac:dyDescent="0.25">
      <c r="A300" s="29" t="s">
        <v>595</v>
      </c>
      <c r="B300" s="18" t="s">
        <v>1057</v>
      </c>
      <c r="C300" s="39" t="s">
        <v>594</v>
      </c>
      <c r="D300">
        <v>112</v>
      </c>
      <c r="E300" s="15" t="s">
        <v>596</v>
      </c>
      <c r="F300" s="42" t="s">
        <v>1244</v>
      </c>
      <c r="G300" s="12">
        <v>2.7780040000000001</v>
      </c>
      <c r="H300">
        <v>16</v>
      </c>
      <c r="I300" s="22" t="s">
        <v>1065</v>
      </c>
      <c r="J300" s="36">
        <v>-2</v>
      </c>
    </row>
    <row r="301" spans="1:14" x14ac:dyDescent="0.25">
      <c r="A301" s="30" t="s">
        <v>597</v>
      </c>
      <c r="B301" s="17" t="s">
        <v>1057</v>
      </c>
      <c r="C301" s="38" t="s">
        <v>594</v>
      </c>
      <c r="D301" s="9">
        <v>112</v>
      </c>
      <c r="E301" s="14" t="s">
        <v>598</v>
      </c>
      <c r="F301" s="41" t="s">
        <v>1244</v>
      </c>
      <c r="G301" s="11">
        <v>7.1115779999999997</v>
      </c>
      <c r="H301" s="9">
        <v>35</v>
      </c>
      <c r="I301" s="23" t="s">
        <v>1065</v>
      </c>
      <c r="J301" s="35">
        <v>-2</v>
      </c>
      <c r="K301" s="9"/>
      <c r="L301" s="9"/>
      <c r="M301" s="9"/>
      <c r="N301" s="9"/>
    </row>
    <row r="302" spans="1:14" x14ac:dyDescent="0.25">
      <c r="A302" s="31" t="s">
        <v>599</v>
      </c>
      <c r="B302" s="19" t="s">
        <v>1058</v>
      </c>
      <c r="C302" s="40" t="s">
        <v>600</v>
      </c>
      <c r="D302" s="10">
        <v>108</v>
      </c>
      <c r="E302" s="16" t="s">
        <v>601</v>
      </c>
      <c r="F302" s="43" t="s">
        <v>1244</v>
      </c>
      <c r="G302" s="13">
        <v>7.6579660000000001</v>
      </c>
      <c r="H302" s="10">
        <v>29</v>
      </c>
      <c r="I302" s="24" t="s">
        <v>1240</v>
      </c>
      <c r="J302" s="37">
        <v>1</v>
      </c>
      <c r="K302">
        <f t="shared" ref="K302" si="172">COUNTIF(F302:F304,"t")</f>
        <v>0</v>
      </c>
      <c r="L302" s="10">
        <f t="shared" ref="L302" si="173">K302-K290</f>
        <v>0</v>
      </c>
      <c r="M302" s="10"/>
      <c r="N302" s="10"/>
    </row>
    <row r="303" spans="1:14" x14ac:dyDescent="0.25">
      <c r="A303" s="29" t="s">
        <v>602</v>
      </c>
      <c r="B303" s="18" t="s">
        <v>1058</v>
      </c>
      <c r="C303" s="39" t="s">
        <v>600</v>
      </c>
      <c r="D303">
        <v>108</v>
      </c>
      <c r="E303" s="15" t="s">
        <v>603</v>
      </c>
      <c r="F303" s="42" t="s">
        <v>1244</v>
      </c>
      <c r="G303" s="12">
        <v>4.247369</v>
      </c>
      <c r="H303">
        <v>22</v>
      </c>
      <c r="I303" s="22" t="s">
        <v>1240</v>
      </c>
      <c r="J303" s="36">
        <v>1</v>
      </c>
    </row>
    <row r="304" spans="1:14" x14ac:dyDescent="0.25">
      <c r="A304" s="30" t="s">
        <v>604</v>
      </c>
      <c r="B304" s="17" t="s">
        <v>1058</v>
      </c>
      <c r="C304" s="38" t="s">
        <v>600</v>
      </c>
      <c r="D304" s="9">
        <v>108</v>
      </c>
      <c r="E304" s="14" t="s">
        <v>579</v>
      </c>
      <c r="F304" s="41" t="s">
        <v>1244</v>
      </c>
      <c r="G304" s="11">
        <v>2.668174</v>
      </c>
      <c r="H304" s="9">
        <v>14</v>
      </c>
      <c r="I304" s="23" t="s">
        <v>1240</v>
      </c>
      <c r="J304" s="35">
        <v>1</v>
      </c>
      <c r="K304" s="9"/>
      <c r="L304" s="9"/>
      <c r="M304" s="9"/>
      <c r="N304" s="9"/>
    </row>
    <row r="305" spans="1:14" x14ac:dyDescent="0.25">
      <c r="A305" s="29" t="s">
        <v>605</v>
      </c>
      <c r="B305" s="18" t="s">
        <v>1059</v>
      </c>
      <c r="C305" s="39" t="s">
        <v>606</v>
      </c>
      <c r="D305">
        <v>110</v>
      </c>
      <c r="E305" s="15" t="s">
        <v>581</v>
      </c>
      <c r="F305" s="42" t="s">
        <v>1244</v>
      </c>
      <c r="G305" s="12">
        <v>5.8752890000000004</v>
      </c>
      <c r="H305">
        <v>23</v>
      </c>
      <c r="I305" s="22" t="s">
        <v>1240</v>
      </c>
      <c r="J305" s="36">
        <v>1</v>
      </c>
      <c r="K305">
        <f t="shared" ref="K305" si="174">COUNTIF(F305:F307,"t")</f>
        <v>0</v>
      </c>
      <c r="L305">
        <f t="shared" ref="L305" si="175">K305-K290</f>
        <v>0</v>
      </c>
    </row>
    <row r="306" spans="1:14" x14ac:dyDescent="0.25">
      <c r="A306" s="29" t="s">
        <v>607</v>
      </c>
      <c r="B306" s="18" t="s">
        <v>1059</v>
      </c>
      <c r="C306" s="39" t="s">
        <v>606</v>
      </c>
      <c r="D306">
        <v>110</v>
      </c>
      <c r="E306" s="15" t="s">
        <v>581</v>
      </c>
      <c r="F306" s="42" t="s">
        <v>1244</v>
      </c>
      <c r="G306" s="12">
        <v>4.1505340000000004</v>
      </c>
      <c r="H306">
        <v>23</v>
      </c>
      <c r="I306" s="22" t="s">
        <v>1240</v>
      </c>
      <c r="J306" s="36">
        <v>1</v>
      </c>
    </row>
    <row r="307" spans="1:14" s="9" customFormat="1" x14ac:dyDescent="0.25">
      <c r="A307" s="30" t="s">
        <v>608</v>
      </c>
      <c r="B307" s="17" t="s">
        <v>1059</v>
      </c>
      <c r="C307" s="38" t="s">
        <v>606</v>
      </c>
      <c r="D307" s="9">
        <v>110</v>
      </c>
      <c r="E307" s="14" t="s">
        <v>581</v>
      </c>
      <c r="F307" s="41" t="s">
        <v>1244</v>
      </c>
      <c r="G307" s="11">
        <v>3.4427669999999999</v>
      </c>
      <c r="H307" s="9">
        <v>23</v>
      </c>
      <c r="I307" s="23" t="s">
        <v>1240</v>
      </c>
      <c r="J307" s="35">
        <v>1</v>
      </c>
    </row>
    <row r="308" spans="1:14" x14ac:dyDescent="0.25">
      <c r="A308" s="25" t="s">
        <v>609</v>
      </c>
      <c r="B308" s="18" t="s">
        <v>1054</v>
      </c>
      <c r="C308" s="39" t="s">
        <v>610</v>
      </c>
      <c r="D308">
        <v>94</v>
      </c>
      <c r="E308" s="15" t="s">
        <v>611</v>
      </c>
      <c r="F308" s="42" t="s">
        <v>1243</v>
      </c>
      <c r="G308" s="12">
        <v>3.9276970000000002</v>
      </c>
      <c r="H308">
        <v>21</v>
      </c>
      <c r="K308">
        <f t="shared" ref="K308" si="176">COUNTIF(F308:F310,"t")</f>
        <v>3</v>
      </c>
    </row>
    <row r="309" spans="1:14" x14ac:dyDescent="0.25">
      <c r="A309" s="25" t="s">
        <v>612</v>
      </c>
      <c r="B309" s="18" t="s">
        <v>1054</v>
      </c>
      <c r="C309" s="39" t="s">
        <v>610</v>
      </c>
      <c r="D309">
        <v>94</v>
      </c>
      <c r="E309" s="15" t="s">
        <v>611</v>
      </c>
      <c r="F309" s="42" t="s">
        <v>1243</v>
      </c>
      <c r="G309" s="12">
        <v>3.5905659999999999</v>
      </c>
      <c r="H309">
        <v>21</v>
      </c>
    </row>
    <row r="310" spans="1:14" x14ac:dyDescent="0.25">
      <c r="A310" s="25" t="s">
        <v>613</v>
      </c>
      <c r="B310" s="18" t="s">
        <v>1054</v>
      </c>
      <c r="C310" s="39" t="s">
        <v>610</v>
      </c>
      <c r="D310">
        <v>94</v>
      </c>
      <c r="E310" s="15" t="s">
        <v>614</v>
      </c>
      <c r="F310" s="42" t="s">
        <v>1243</v>
      </c>
      <c r="G310" s="12">
        <v>1.246299</v>
      </c>
      <c r="H310">
        <v>7</v>
      </c>
    </row>
    <row r="311" spans="1:14" x14ac:dyDescent="0.25">
      <c r="A311" s="26" t="s">
        <v>615</v>
      </c>
      <c r="B311" s="18" t="s">
        <v>1055</v>
      </c>
      <c r="C311" s="39" t="s">
        <v>616</v>
      </c>
      <c r="D311">
        <v>117</v>
      </c>
      <c r="E311" s="15" t="s">
        <v>614</v>
      </c>
      <c r="F311" s="42" t="s">
        <v>1243</v>
      </c>
      <c r="G311" s="12">
        <v>1.7169639999999999</v>
      </c>
      <c r="H311">
        <v>7</v>
      </c>
      <c r="K311">
        <f t="shared" ref="K311" si="177">COUNTIF(F311:F313,"t")</f>
        <v>3</v>
      </c>
      <c r="L311">
        <f t="shared" ref="L311" si="178">K311-K308</f>
        <v>0</v>
      </c>
    </row>
    <row r="312" spans="1:14" x14ac:dyDescent="0.25">
      <c r="A312" s="26" t="s">
        <v>617</v>
      </c>
      <c r="B312" s="18" t="s">
        <v>1055</v>
      </c>
      <c r="C312" s="39" t="s">
        <v>616</v>
      </c>
      <c r="D312">
        <v>117</v>
      </c>
      <c r="E312" s="15" t="s">
        <v>618</v>
      </c>
      <c r="F312" s="42" t="s">
        <v>1243</v>
      </c>
      <c r="G312" s="12">
        <v>3.3765649999999998</v>
      </c>
      <c r="H312">
        <v>21</v>
      </c>
    </row>
    <row r="313" spans="1:14" x14ac:dyDescent="0.25">
      <c r="A313" s="26" t="s">
        <v>619</v>
      </c>
      <c r="B313" s="18" t="s">
        <v>1055</v>
      </c>
      <c r="C313" s="39" t="s">
        <v>616</v>
      </c>
      <c r="D313">
        <v>117</v>
      </c>
      <c r="E313" s="15" t="s">
        <v>614</v>
      </c>
      <c r="F313" s="42" t="s">
        <v>1243</v>
      </c>
      <c r="G313" s="12">
        <v>1.135024</v>
      </c>
      <c r="H313">
        <v>7</v>
      </c>
    </row>
    <row r="314" spans="1:14" x14ac:dyDescent="0.25">
      <c r="A314" s="27" t="s">
        <v>620</v>
      </c>
      <c r="B314" s="18" t="s">
        <v>1056</v>
      </c>
      <c r="C314" s="39" t="s">
        <v>621</v>
      </c>
      <c r="D314">
        <v>116</v>
      </c>
      <c r="E314" s="15" t="s">
        <v>614</v>
      </c>
      <c r="F314" s="42" t="s">
        <v>1243</v>
      </c>
      <c r="G314" s="12">
        <v>19.752089999999999</v>
      </c>
      <c r="H314">
        <v>7</v>
      </c>
      <c r="K314">
        <f t="shared" ref="K314" si="179">COUNTIF(F314:F316,"t")</f>
        <v>3</v>
      </c>
      <c r="L314">
        <f t="shared" ref="L314" si="180">K314-K308</f>
        <v>0</v>
      </c>
    </row>
    <row r="315" spans="1:14" x14ac:dyDescent="0.25">
      <c r="A315" s="27" t="s">
        <v>622</v>
      </c>
      <c r="B315" s="18" t="s">
        <v>1056</v>
      </c>
      <c r="C315" s="39" t="s">
        <v>623</v>
      </c>
      <c r="D315">
        <v>96</v>
      </c>
      <c r="E315" s="15" t="s">
        <v>624</v>
      </c>
      <c r="F315" s="42" t="s">
        <v>1243</v>
      </c>
      <c r="G315" s="12">
        <v>17.865438000000001</v>
      </c>
      <c r="H315">
        <v>13</v>
      </c>
    </row>
    <row r="316" spans="1:14" x14ac:dyDescent="0.25">
      <c r="A316" s="28" t="s">
        <v>625</v>
      </c>
      <c r="B316" s="17" t="s">
        <v>1056</v>
      </c>
      <c r="C316" s="38" t="s">
        <v>626</v>
      </c>
      <c r="D316" s="9">
        <v>113</v>
      </c>
      <c r="E316" s="14" t="s">
        <v>614</v>
      </c>
      <c r="F316" s="41" t="s">
        <v>1243</v>
      </c>
      <c r="G316" s="11">
        <v>19.016887000000001</v>
      </c>
      <c r="H316" s="9">
        <v>7</v>
      </c>
      <c r="I316" s="20"/>
      <c r="J316" s="35"/>
      <c r="K316" s="9"/>
      <c r="L316" s="9"/>
      <c r="M316" s="9"/>
      <c r="N316" s="9"/>
    </row>
    <row r="317" spans="1:14" x14ac:dyDescent="0.25">
      <c r="A317" s="29" t="s">
        <v>627</v>
      </c>
      <c r="B317" s="18" t="s">
        <v>1057</v>
      </c>
      <c r="C317" s="39" t="s">
        <v>628</v>
      </c>
      <c r="D317">
        <v>157</v>
      </c>
      <c r="E317" s="15" t="s">
        <v>614</v>
      </c>
      <c r="F317" s="42" t="s">
        <v>1243</v>
      </c>
      <c r="G317" s="12">
        <v>1.6816040000000001</v>
      </c>
      <c r="H317">
        <v>7</v>
      </c>
      <c r="I317" s="22" t="s">
        <v>1065</v>
      </c>
      <c r="J317" s="36">
        <v>-2</v>
      </c>
      <c r="K317">
        <f t="shared" ref="K317" si="181">COUNTIF(F317:F319,"t")</f>
        <v>3</v>
      </c>
      <c r="L317">
        <f t="shared" ref="L317" si="182">K317-K308</f>
        <v>0</v>
      </c>
    </row>
    <row r="318" spans="1:14" x14ac:dyDescent="0.25">
      <c r="A318" s="29" t="s">
        <v>629</v>
      </c>
      <c r="B318" s="18" t="s">
        <v>1057</v>
      </c>
      <c r="C318" s="39" t="s">
        <v>628</v>
      </c>
      <c r="D318">
        <v>157</v>
      </c>
      <c r="E318" s="15" t="s">
        <v>614</v>
      </c>
      <c r="F318" s="42" t="s">
        <v>1243</v>
      </c>
      <c r="G318" s="12">
        <v>0.98913799999999996</v>
      </c>
      <c r="H318">
        <v>7</v>
      </c>
      <c r="I318" s="22" t="s">
        <v>1065</v>
      </c>
      <c r="J318" s="36">
        <v>-2</v>
      </c>
    </row>
    <row r="319" spans="1:14" x14ac:dyDescent="0.25">
      <c r="A319" s="30" t="s">
        <v>630</v>
      </c>
      <c r="B319" s="17" t="s">
        <v>1057</v>
      </c>
      <c r="C319" s="38" t="s">
        <v>628</v>
      </c>
      <c r="D319" s="9">
        <v>157</v>
      </c>
      <c r="E319" s="14" t="s">
        <v>631</v>
      </c>
      <c r="F319" s="41" t="s">
        <v>1243</v>
      </c>
      <c r="G319" s="11">
        <v>3.722413</v>
      </c>
      <c r="H319" s="9">
        <v>22</v>
      </c>
      <c r="I319" s="23" t="s">
        <v>1065</v>
      </c>
      <c r="J319" s="35">
        <v>-2</v>
      </c>
      <c r="K319" s="9"/>
      <c r="L319" s="9"/>
      <c r="M319" s="9"/>
      <c r="N319" s="9"/>
    </row>
    <row r="320" spans="1:14" x14ac:dyDescent="0.25">
      <c r="A320" s="31" t="s">
        <v>632</v>
      </c>
      <c r="B320" s="19" t="s">
        <v>1058</v>
      </c>
      <c r="C320" s="40" t="s">
        <v>633</v>
      </c>
      <c r="D320" s="10">
        <v>105</v>
      </c>
      <c r="E320" s="16" t="s">
        <v>634</v>
      </c>
      <c r="F320" s="43" t="s">
        <v>1243</v>
      </c>
      <c r="G320" s="13">
        <v>5.1950799999999999</v>
      </c>
      <c r="H320" s="10">
        <v>20</v>
      </c>
      <c r="I320" s="24" t="s">
        <v>1240</v>
      </c>
      <c r="J320" s="37">
        <v>1</v>
      </c>
      <c r="K320">
        <f t="shared" ref="K320" si="183">COUNTIF(F320:F322,"t")</f>
        <v>3</v>
      </c>
      <c r="L320" s="10">
        <f t="shared" ref="L320" si="184">K320-K308</f>
        <v>0</v>
      </c>
      <c r="M320" s="10"/>
      <c r="N320" s="10"/>
    </row>
    <row r="321" spans="1:14" x14ac:dyDescent="0.25">
      <c r="A321" s="29" t="s">
        <v>635</v>
      </c>
      <c r="B321" s="18" t="s">
        <v>1058</v>
      </c>
      <c r="C321" s="39" t="s">
        <v>633</v>
      </c>
      <c r="D321">
        <v>105</v>
      </c>
      <c r="E321" s="15" t="s">
        <v>631</v>
      </c>
      <c r="F321" s="42" t="s">
        <v>1243</v>
      </c>
      <c r="G321" s="12">
        <v>3.7969520000000001</v>
      </c>
      <c r="H321">
        <v>22</v>
      </c>
      <c r="I321" s="22" t="s">
        <v>1240</v>
      </c>
      <c r="J321" s="36">
        <v>1</v>
      </c>
    </row>
    <row r="322" spans="1:14" x14ac:dyDescent="0.25">
      <c r="A322" s="30" t="s">
        <v>636</v>
      </c>
      <c r="B322" s="17" t="s">
        <v>1058</v>
      </c>
      <c r="C322" s="38" t="s">
        <v>633</v>
      </c>
      <c r="D322" s="9">
        <v>105</v>
      </c>
      <c r="E322" s="14" t="s">
        <v>611</v>
      </c>
      <c r="F322" s="41" t="s">
        <v>1243</v>
      </c>
      <c r="G322" s="11">
        <v>4.0986630000000002</v>
      </c>
      <c r="H322" s="9">
        <v>21</v>
      </c>
      <c r="I322" s="23" t="s">
        <v>1240</v>
      </c>
      <c r="J322" s="35">
        <v>1</v>
      </c>
      <c r="K322" s="9"/>
      <c r="L322" s="9"/>
      <c r="M322" s="9"/>
      <c r="N322" s="9"/>
    </row>
    <row r="323" spans="1:14" x14ac:dyDescent="0.25">
      <c r="A323" s="29" t="s">
        <v>637</v>
      </c>
      <c r="B323" s="18" t="s">
        <v>1059</v>
      </c>
      <c r="C323" s="39" t="s">
        <v>638</v>
      </c>
      <c r="D323">
        <v>104</v>
      </c>
      <c r="E323" s="15" t="s">
        <v>614</v>
      </c>
      <c r="F323" s="42" t="s">
        <v>1243</v>
      </c>
      <c r="G323" s="12">
        <v>3.1170399999999998</v>
      </c>
      <c r="H323">
        <v>7</v>
      </c>
      <c r="I323" s="22" t="s">
        <v>1242</v>
      </c>
      <c r="J323" s="36">
        <v>2</v>
      </c>
      <c r="K323">
        <f t="shared" ref="K323" si="185">COUNTIF(F323:F325,"t")</f>
        <v>3</v>
      </c>
      <c r="L323">
        <f t="shared" ref="L323" si="186">K323-K308</f>
        <v>0</v>
      </c>
    </row>
    <row r="324" spans="1:14" x14ac:dyDescent="0.25">
      <c r="A324" s="29" t="s">
        <v>639</v>
      </c>
      <c r="B324" s="18" t="s">
        <v>1059</v>
      </c>
      <c r="C324" s="39" t="s">
        <v>638</v>
      </c>
      <c r="D324">
        <v>104</v>
      </c>
      <c r="E324" s="15" t="s">
        <v>614</v>
      </c>
      <c r="F324" s="42" t="s">
        <v>1243</v>
      </c>
      <c r="G324" s="12">
        <v>1.174247</v>
      </c>
      <c r="H324">
        <v>7</v>
      </c>
      <c r="I324" s="22" t="s">
        <v>1242</v>
      </c>
      <c r="J324" s="36">
        <v>2</v>
      </c>
    </row>
    <row r="325" spans="1:14" s="9" customFormat="1" x14ac:dyDescent="0.25">
      <c r="A325" s="30" t="s">
        <v>640</v>
      </c>
      <c r="B325" s="17" t="s">
        <v>1059</v>
      </c>
      <c r="C325" s="38" t="s">
        <v>638</v>
      </c>
      <c r="D325" s="9">
        <v>104</v>
      </c>
      <c r="E325" s="14" t="s">
        <v>614</v>
      </c>
      <c r="F325" s="41" t="s">
        <v>1243</v>
      </c>
      <c r="G325" s="11">
        <v>1.0651280000000001</v>
      </c>
      <c r="H325" s="9">
        <v>7</v>
      </c>
      <c r="I325" s="23" t="s">
        <v>1242</v>
      </c>
      <c r="J325" s="35">
        <v>2</v>
      </c>
    </row>
    <row r="326" spans="1:14" x14ac:dyDescent="0.25">
      <c r="A326" s="25" t="s">
        <v>641</v>
      </c>
      <c r="B326" s="18" t="s">
        <v>1054</v>
      </c>
      <c r="C326" s="39" t="s">
        <v>642</v>
      </c>
      <c r="D326">
        <v>87</v>
      </c>
      <c r="E326" s="15" t="s">
        <v>643</v>
      </c>
      <c r="F326" s="42" t="s">
        <v>1244</v>
      </c>
      <c r="G326" s="12">
        <v>1.9466920000000001</v>
      </c>
      <c r="H326">
        <v>9</v>
      </c>
      <c r="K326">
        <f t="shared" ref="K326" si="187">COUNTIF(F326:F328,"t")</f>
        <v>0</v>
      </c>
    </row>
    <row r="327" spans="1:14" x14ac:dyDescent="0.25">
      <c r="A327" s="25" t="s">
        <v>644</v>
      </c>
      <c r="B327" s="18" t="s">
        <v>1054</v>
      </c>
      <c r="C327" s="39" t="s">
        <v>642</v>
      </c>
      <c r="D327">
        <v>87</v>
      </c>
      <c r="E327" s="15" t="s">
        <v>643</v>
      </c>
      <c r="F327" s="42" t="s">
        <v>1244</v>
      </c>
      <c r="G327" s="12">
        <v>1.3558049999999999</v>
      </c>
      <c r="H327">
        <v>9</v>
      </c>
    </row>
    <row r="328" spans="1:14" x14ac:dyDescent="0.25">
      <c r="A328" s="25" t="s">
        <v>645</v>
      </c>
      <c r="B328" s="18" t="s">
        <v>1054</v>
      </c>
      <c r="C328" s="39" t="s">
        <v>642</v>
      </c>
      <c r="D328">
        <v>87</v>
      </c>
      <c r="E328" s="15" t="s">
        <v>643</v>
      </c>
      <c r="F328" s="42" t="s">
        <v>1244</v>
      </c>
      <c r="G328" s="12">
        <v>1.423713</v>
      </c>
      <c r="H328">
        <v>9</v>
      </c>
    </row>
    <row r="329" spans="1:14" x14ac:dyDescent="0.25">
      <c r="A329" s="26" t="s">
        <v>646</v>
      </c>
      <c r="B329" s="18" t="s">
        <v>1055</v>
      </c>
      <c r="C329" s="39" t="s">
        <v>647</v>
      </c>
      <c r="D329">
        <v>116</v>
      </c>
      <c r="E329" s="15" t="s">
        <v>643</v>
      </c>
      <c r="F329" s="42" t="s">
        <v>1244</v>
      </c>
      <c r="G329" s="12">
        <v>2.086106</v>
      </c>
      <c r="H329">
        <v>9</v>
      </c>
      <c r="K329">
        <f t="shared" ref="K329" si="188">COUNTIF(F329:F331,"t")</f>
        <v>0</v>
      </c>
      <c r="L329">
        <f t="shared" ref="L329" si="189">K329-K326</f>
        <v>0</v>
      </c>
    </row>
    <row r="330" spans="1:14" x14ac:dyDescent="0.25">
      <c r="A330" s="26" t="s">
        <v>648</v>
      </c>
      <c r="B330" s="18" t="s">
        <v>1055</v>
      </c>
      <c r="C330" s="39" t="s">
        <v>647</v>
      </c>
      <c r="D330">
        <v>116</v>
      </c>
      <c r="E330" s="15" t="s">
        <v>643</v>
      </c>
      <c r="F330" s="42" t="s">
        <v>1244</v>
      </c>
      <c r="G330" s="12">
        <v>1.530381</v>
      </c>
      <c r="H330">
        <v>9</v>
      </c>
    </row>
    <row r="331" spans="1:14" x14ac:dyDescent="0.25">
      <c r="A331" s="26" t="s">
        <v>649</v>
      </c>
      <c r="B331" s="18" t="s">
        <v>1055</v>
      </c>
      <c r="C331" s="39" t="s">
        <v>647</v>
      </c>
      <c r="D331">
        <v>116</v>
      </c>
      <c r="E331" s="15" t="s">
        <v>643</v>
      </c>
      <c r="F331" s="42" t="s">
        <v>1244</v>
      </c>
      <c r="G331" s="12">
        <v>1.4357470000000001</v>
      </c>
      <c r="H331">
        <v>9</v>
      </c>
    </row>
    <row r="332" spans="1:14" x14ac:dyDescent="0.25">
      <c r="A332" s="27" t="s">
        <v>650</v>
      </c>
      <c r="B332" s="18" t="s">
        <v>1056</v>
      </c>
      <c r="C332" s="39" t="s">
        <v>651</v>
      </c>
      <c r="D332">
        <v>93</v>
      </c>
      <c r="E332" s="15" t="s">
        <v>652</v>
      </c>
      <c r="F332" s="42" t="s">
        <v>1243</v>
      </c>
      <c r="G332" s="12">
        <v>18.280985999999999</v>
      </c>
      <c r="H332">
        <v>17</v>
      </c>
      <c r="K332">
        <f t="shared" ref="K332" si="190">COUNTIF(F332:F334,"t")</f>
        <v>3</v>
      </c>
      <c r="L332">
        <f t="shared" ref="L332" si="191">K332-K326</f>
        <v>3</v>
      </c>
    </row>
    <row r="333" spans="1:14" x14ac:dyDescent="0.25">
      <c r="A333" s="27" t="s">
        <v>653</v>
      </c>
      <c r="B333" s="18" t="s">
        <v>1056</v>
      </c>
      <c r="C333" s="39" t="s">
        <v>654</v>
      </c>
      <c r="D333">
        <v>106</v>
      </c>
      <c r="E333" s="15" t="s">
        <v>655</v>
      </c>
      <c r="F333" s="42" t="s">
        <v>1243</v>
      </c>
      <c r="G333" s="12">
        <v>20.656711000000001</v>
      </c>
      <c r="H333">
        <v>18</v>
      </c>
    </row>
    <row r="334" spans="1:14" x14ac:dyDescent="0.25">
      <c r="A334" s="28" t="s">
        <v>656</v>
      </c>
      <c r="B334" s="17" t="s">
        <v>1056</v>
      </c>
      <c r="C334" s="38" t="s">
        <v>657</v>
      </c>
      <c r="D334" s="9">
        <v>114</v>
      </c>
      <c r="E334" s="14" t="s">
        <v>658</v>
      </c>
      <c r="F334" s="41" t="s">
        <v>1243</v>
      </c>
      <c r="G334" s="11">
        <v>21.529502999999998</v>
      </c>
      <c r="H334" s="9">
        <v>9</v>
      </c>
      <c r="I334" s="20"/>
      <c r="J334" s="35"/>
      <c r="K334" s="9"/>
      <c r="L334" s="9"/>
      <c r="M334" s="9"/>
      <c r="N334" s="9"/>
    </row>
    <row r="335" spans="1:14" x14ac:dyDescent="0.25">
      <c r="A335" s="29" t="s">
        <v>659</v>
      </c>
      <c r="B335" s="18" t="s">
        <v>1057</v>
      </c>
      <c r="C335" s="39" t="s">
        <v>660</v>
      </c>
      <c r="D335">
        <v>101</v>
      </c>
      <c r="E335" s="15" t="s">
        <v>643</v>
      </c>
      <c r="F335" s="42" t="s">
        <v>1244</v>
      </c>
      <c r="G335" s="12">
        <v>1.953802</v>
      </c>
      <c r="H335">
        <v>9</v>
      </c>
      <c r="I335" s="22" t="s">
        <v>1242</v>
      </c>
      <c r="J335" s="36">
        <v>1</v>
      </c>
      <c r="K335">
        <f t="shared" ref="K335" si="192">COUNTIF(F335:F337,"t")</f>
        <v>0</v>
      </c>
      <c r="L335">
        <f t="shared" ref="L335" si="193">K335-K326</f>
        <v>0</v>
      </c>
    </row>
    <row r="336" spans="1:14" x14ac:dyDescent="0.25">
      <c r="A336" s="29" t="s">
        <v>661</v>
      </c>
      <c r="B336" s="18" t="s">
        <v>1057</v>
      </c>
      <c r="C336" s="39" t="s">
        <v>660</v>
      </c>
      <c r="D336">
        <v>101</v>
      </c>
      <c r="E336" s="15" t="s">
        <v>662</v>
      </c>
      <c r="F336" s="42" t="s">
        <v>1244</v>
      </c>
      <c r="G336" s="12">
        <v>2.6639499999999998</v>
      </c>
      <c r="H336">
        <v>17</v>
      </c>
      <c r="I336" s="22" t="s">
        <v>1242</v>
      </c>
      <c r="J336" s="36">
        <v>1</v>
      </c>
    </row>
    <row r="337" spans="1:14" x14ac:dyDescent="0.25">
      <c r="A337" s="30" t="s">
        <v>663</v>
      </c>
      <c r="B337" s="17" t="s">
        <v>1057</v>
      </c>
      <c r="C337" s="38" t="s">
        <v>660</v>
      </c>
      <c r="D337" s="9">
        <v>101</v>
      </c>
      <c r="E337" s="14" t="s">
        <v>643</v>
      </c>
      <c r="F337" s="41" t="s">
        <v>1244</v>
      </c>
      <c r="G337" s="11">
        <v>1.520418</v>
      </c>
      <c r="H337" s="9">
        <v>9</v>
      </c>
      <c r="I337" s="23" t="s">
        <v>1242</v>
      </c>
      <c r="J337" s="35">
        <v>1</v>
      </c>
      <c r="K337" s="9"/>
      <c r="L337" s="9"/>
      <c r="M337" s="9"/>
      <c r="N337" s="9"/>
    </row>
    <row r="338" spans="1:14" x14ac:dyDescent="0.25">
      <c r="A338" s="31" t="s">
        <v>664</v>
      </c>
      <c r="B338" s="19" t="s">
        <v>1058</v>
      </c>
      <c r="C338" s="40" t="s">
        <v>665</v>
      </c>
      <c r="D338" s="10">
        <v>99</v>
      </c>
      <c r="E338" s="16" t="s">
        <v>643</v>
      </c>
      <c r="F338" s="43" t="s">
        <v>1244</v>
      </c>
      <c r="G338" s="13">
        <v>3.7713109999999999</v>
      </c>
      <c r="H338" s="10">
        <v>9</v>
      </c>
      <c r="I338" s="24" t="s">
        <v>1240</v>
      </c>
      <c r="J338" s="37">
        <v>1</v>
      </c>
      <c r="K338">
        <f t="shared" ref="K338" si="194">COUNTIF(F338:F340,"t")</f>
        <v>0</v>
      </c>
      <c r="L338" s="10">
        <f t="shared" ref="L338" si="195">K338-K326</f>
        <v>0</v>
      </c>
      <c r="M338" s="10"/>
      <c r="N338" s="10"/>
    </row>
    <row r="339" spans="1:14" x14ac:dyDescent="0.25">
      <c r="A339" s="29" t="s">
        <v>666</v>
      </c>
      <c r="B339" s="18" t="s">
        <v>1058</v>
      </c>
      <c r="C339" s="39" t="s">
        <v>665</v>
      </c>
      <c r="D339">
        <v>99</v>
      </c>
      <c r="E339" s="15" t="s">
        <v>662</v>
      </c>
      <c r="F339" s="42" t="s">
        <v>1244</v>
      </c>
      <c r="G339" s="12">
        <v>2.7949480000000002</v>
      </c>
      <c r="H339">
        <v>17</v>
      </c>
      <c r="I339" s="22" t="s">
        <v>1240</v>
      </c>
      <c r="J339" s="36">
        <v>1</v>
      </c>
    </row>
    <row r="340" spans="1:14" x14ac:dyDescent="0.25">
      <c r="A340" s="30" t="s">
        <v>667</v>
      </c>
      <c r="B340" s="17" t="s">
        <v>1058</v>
      </c>
      <c r="C340" s="38" t="s">
        <v>665</v>
      </c>
      <c r="D340" s="9">
        <v>99</v>
      </c>
      <c r="E340" s="14" t="s">
        <v>662</v>
      </c>
      <c r="F340" s="41" t="s">
        <v>1244</v>
      </c>
      <c r="G340" s="11">
        <v>3.2193520000000002</v>
      </c>
      <c r="H340" s="9">
        <v>17</v>
      </c>
      <c r="I340" s="23" t="s">
        <v>1240</v>
      </c>
      <c r="J340" s="35">
        <v>1</v>
      </c>
      <c r="K340" s="9"/>
      <c r="L340" s="9"/>
      <c r="M340" s="9"/>
      <c r="N340" s="9"/>
    </row>
    <row r="341" spans="1:14" x14ac:dyDescent="0.25">
      <c r="A341" s="29" t="s">
        <v>668</v>
      </c>
      <c r="B341" s="18" t="s">
        <v>1059</v>
      </c>
      <c r="C341" s="39" t="s">
        <v>669</v>
      </c>
      <c r="D341">
        <v>98</v>
      </c>
      <c r="E341" s="15" t="s">
        <v>643</v>
      </c>
      <c r="F341" s="42" t="s">
        <v>1244</v>
      </c>
      <c r="G341" s="12">
        <v>3.7780990000000001</v>
      </c>
      <c r="H341">
        <v>9</v>
      </c>
      <c r="I341" s="22" t="s">
        <v>1242</v>
      </c>
      <c r="J341" s="36">
        <v>2</v>
      </c>
      <c r="K341">
        <f t="shared" ref="K341" si="196">COUNTIF(F341:F343,"t")</f>
        <v>0</v>
      </c>
      <c r="L341">
        <f t="shared" ref="L341" si="197">K341-K326</f>
        <v>0</v>
      </c>
    </row>
    <row r="342" spans="1:14" x14ac:dyDescent="0.25">
      <c r="A342" s="29" t="s">
        <v>670</v>
      </c>
      <c r="B342" s="18" t="s">
        <v>1059</v>
      </c>
      <c r="C342" s="39" t="s">
        <v>669</v>
      </c>
      <c r="D342">
        <v>98</v>
      </c>
      <c r="E342" s="15" t="s">
        <v>643</v>
      </c>
      <c r="F342" s="42" t="s">
        <v>1244</v>
      </c>
      <c r="G342" s="12">
        <v>1.333072</v>
      </c>
      <c r="H342">
        <v>9</v>
      </c>
      <c r="I342" s="22" t="s">
        <v>1242</v>
      </c>
      <c r="J342" s="36">
        <v>2</v>
      </c>
    </row>
    <row r="343" spans="1:14" s="9" customFormat="1" x14ac:dyDescent="0.25">
      <c r="A343" s="30" t="s">
        <v>671</v>
      </c>
      <c r="B343" s="17" t="s">
        <v>1059</v>
      </c>
      <c r="C343" s="38" t="s">
        <v>669</v>
      </c>
      <c r="D343" s="9">
        <v>98</v>
      </c>
      <c r="E343" s="14" t="s">
        <v>662</v>
      </c>
      <c r="F343" s="41" t="s">
        <v>1244</v>
      </c>
      <c r="G343" s="11">
        <v>3.3345820000000002</v>
      </c>
      <c r="H343" s="9">
        <v>17</v>
      </c>
      <c r="I343" s="23" t="s">
        <v>1242</v>
      </c>
      <c r="J343" s="35">
        <v>2</v>
      </c>
    </row>
    <row r="344" spans="1:14" x14ac:dyDescent="0.25">
      <c r="A344" s="25" t="s">
        <v>672</v>
      </c>
      <c r="B344" s="18" t="s">
        <v>1054</v>
      </c>
      <c r="C344" s="39" t="s">
        <v>673</v>
      </c>
      <c r="D344">
        <v>124</v>
      </c>
      <c r="E344" s="15" t="s">
        <v>674</v>
      </c>
      <c r="F344" s="42" t="s">
        <v>1244</v>
      </c>
      <c r="G344" s="12">
        <v>4.1964699999999997</v>
      </c>
      <c r="H344">
        <v>21</v>
      </c>
      <c r="K344">
        <f t="shared" ref="K344" si="198">COUNTIF(F344:F346,"t")</f>
        <v>0</v>
      </c>
    </row>
    <row r="345" spans="1:14" x14ac:dyDescent="0.25">
      <c r="A345" s="25" t="s">
        <v>675</v>
      </c>
      <c r="B345" s="18" t="s">
        <v>1054</v>
      </c>
      <c r="C345" s="39" t="s">
        <v>673</v>
      </c>
      <c r="D345">
        <v>124</v>
      </c>
      <c r="E345" s="15" t="s">
        <v>676</v>
      </c>
      <c r="F345" s="42" t="s">
        <v>1244</v>
      </c>
      <c r="G345" s="12">
        <v>3.4148109999999998</v>
      </c>
      <c r="H345">
        <v>18</v>
      </c>
    </row>
    <row r="346" spans="1:14" x14ac:dyDescent="0.25">
      <c r="A346" s="25" t="s">
        <v>677</v>
      </c>
      <c r="B346" s="18" t="s">
        <v>1054</v>
      </c>
      <c r="C346" s="39" t="s">
        <v>673</v>
      </c>
      <c r="D346">
        <v>124</v>
      </c>
      <c r="E346" s="15" t="s">
        <v>678</v>
      </c>
      <c r="F346" s="42" t="s">
        <v>1244</v>
      </c>
      <c r="G346" s="12">
        <v>4.6144280000000002</v>
      </c>
      <c r="H346">
        <v>21</v>
      </c>
    </row>
    <row r="347" spans="1:14" x14ac:dyDescent="0.25">
      <c r="A347" s="26" t="s">
        <v>679</v>
      </c>
      <c r="B347" s="18" t="s">
        <v>1055</v>
      </c>
      <c r="C347" s="39" t="s">
        <v>680</v>
      </c>
      <c r="D347">
        <v>157</v>
      </c>
      <c r="E347" s="15" t="s">
        <v>681</v>
      </c>
      <c r="F347" s="42" t="s">
        <v>1244</v>
      </c>
      <c r="G347" s="12">
        <v>3.6807989999999999</v>
      </c>
      <c r="H347">
        <v>17</v>
      </c>
      <c r="K347">
        <f t="shared" ref="K347" si="199">COUNTIF(F347:F349,"t")</f>
        <v>0</v>
      </c>
      <c r="L347">
        <f t="shared" ref="L347" si="200">K347-K344</f>
        <v>0</v>
      </c>
    </row>
    <row r="348" spans="1:14" x14ac:dyDescent="0.25">
      <c r="A348" s="26" t="s">
        <v>682</v>
      </c>
      <c r="B348" s="18" t="s">
        <v>1055</v>
      </c>
      <c r="C348" s="39" t="s">
        <v>680</v>
      </c>
      <c r="D348">
        <v>157</v>
      </c>
      <c r="E348" s="15" t="s">
        <v>683</v>
      </c>
      <c r="F348" s="42" t="s">
        <v>1244</v>
      </c>
      <c r="G348" s="12">
        <v>4.0949090000000004</v>
      </c>
      <c r="H348">
        <v>22</v>
      </c>
    </row>
    <row r="349" spans="1:14" x14ac:dyDescent="0.25">
      <c r="A349" s="26" t="s">
        <v>684</v>
      </c>
      <c r="B349" s="18" t="s">
        <v>1055</v>
      </c>
      <c r="C349" s="39" t="s">
        <v>680</v>
      </c>
      <c r="D349">
        <v>157</v>
      </c>
      <c r="E349" s="15" t="s">
        <v>685</v>
      </c>
      <c r="F349" s="42" t="s">
        <v>1244</v>
      </c>
      <c r="G349" s="12">
        <v>2.0941420000000002</v>
      </c>
      <c r="H349">
        <v>11</v>
      </c>
    </row>
    <row r="350" spans="1:14" x14ac:dyDescent="0.25">
      <c r="A350" s="27" t="s">
        <v>686</v>
      </c>
      <c r="B350" s="18" t="s">
        <v>1056</v>
      </c>
      <c r="C350" s="39" t="s">
        <v>687</v>
      </c>
      <c r="D350">
        <v>117</v>
      </c>
      <c r="E350" s="15" t="s">
        <v>688</v>
      </c>
      <c r="F350" s="42" t="s">
        <v>1243</v>
      </c>
      <c r="G350" s="12">
        <v>22.229576000000002</v>
      </c>
      <c r="H350">
        <v>11</v>
      </c>
      <c r="K350">
        <f t="shared" ref="K350" si="201">COUNTIF(F350:F352,"t")</f>
        <v>2</v>
      </c>
      <c r="L350">
        <f t="shared" ref="L350" si="202">K350-K344</f>
        <v>2</v>
      </c>
    </row>
    <row r="351" spans="1:14" x14ac:dyDescent="0.25">
      <c r="A351" s="27" t="s">
        <v>689</v>
      </c>
      <c r="B351" s="18" t="s">
        <v>1056</v>
      </c>
      <c r="C351" s="39" t="s">
        <v>687</v>
      </c>
      <c r="D351">
        <v>117</v>
      </c>
      <c r="E351" s="15" t="s">
        <v>690</v>
      </c>
      <c r="F351" s="42" t="s">
        <v>1243</v>
      </c>
      <c r="G351" s="12">
        <v>25.564316000000002</v>
      </c>
      <c r="H351">
        <v>23</v>
      </c>
    </row>
    <row r="352" spans="1:14" x14ac:dyDescent="0.25">
      <c r="A352" s="28" t="s">
        <v>691</v>
      </c>
      <c r="B352" s="17" t="s">
        <v>1056</v>
      </c>
      <c r="C352" s="38" t="s">
        <v>687</v>
      </c>
      <c r="D352" s="9">
        <v>117</v>
      </c>
      <c r="E352" s="14" t="s">
        <v>692</v>
      </c>
      <c r="F352" s="41" t="s">
        <v>1244</v>
      </c>
      <c r="G352" s="11">
        <v>25.769473000000001</v>
      </c>
      <c r="H352" s="9">
        <v>21</v>
      </c>
      <c r="I352" s="20"/>
      <c r="J352" s="35"/>
      <c r="K352" s="9"/>
      <c r="L352" s="9"/>
      <c r="M352" s="9"/>
      <c r="N352" s="9"/>
    </row>
    <row r="353" spans="1:14" x14ac:dyDescent="0.25">
      <c r="A353" s="29" t="s">
        <v>693</v>
      </c>
      <c r="B353" s="18" t="s">
        <v>1057</v>
      </c>
      <c r="C353" s="39" t="s">
        <v>694</v>
      </c>
      <c r="D353">
        <v>141</v>
      </c>
      <c r="E353" s="15" t="s">
        <v>695</v>
      </c>
      <c r="F353" s="42" t="s">
        <v>1244</v>
      </c>
      <c r="G353" s="12">
        <v>3.77434</v>
      </c>
      <c r="H353">
        <v>17</v>
      </c>
      <c r="I353" s="22" t="s">
        <v>1065</v>
      </c>
      <c r="J353" s="36">
        <v>-2</v>
      </c>
      <c r="K353">
        <f t="shared" ref="K353" si="203">COUNTIF(F353:F355,"t")</f>
        <v>0</v>
      </c>
      <c r="L353">
        <f t="shared" ref="L353" si="204">K353-K344</f>
        <v>0</v>
      </c>
    </row>
    <row r="354" spans="1:14" x14ac:dyDescent="0.25">
      <c r="A354" s="29" t="s">
        <v>696</v>
      </c>
      <c r="B354" s="18" t="s">
        <v>1057</v>
      </c>
      <c r="C354" s="39" t="s">
        <v>694</v>
      </c>
      <c r="D354">
        <v>141</v>
      </c>
      <c r="E354" s="15" t="s">
        <v>695</v>
      </c>
      <c r="F354" s="42" t="s">
        <v>1244</v>
      </c>
      <c r="G354" s="12">
        <v>3.197889</v>
      </c>
      <c r="H354">
        <v>17</v>
      </c>
      <c r="I354" s="22" t="s">
        <v>1065</v>
      </c>
      <c r="J354" s="36">
        <v>-2</v>
      </c>
    </row>
    <row r="355" spans="1:14" x14ac:dyDescent="0.25">
      <c r="A355" s="30" t="s">
        <v>697</v>
      </c>
      <c r="B355" s="17" t="s">
        <v>1057</v>
      </c>
      <c r="C355" s="38" t="s">
        <v>694</v>
      </c>
      <c r="D355" s="9">
        <v>141</v>
      </c>
      <c r="E355" s="14" t="s">
        <v>676</v>
      </c>
      <c r="F355" s="41" t="s">
        <v>1244</v>
      </c>
      <c r="G355" s="11">
        <v>2.8675540000000002</v>
      </c>
      <c r="H355" s="9">
        <v>18</v>
      </c>
      <c r="I355" s="23" t="s">
        <v>1065</v>
      </c>
      <c r="J355" s="35">
        <v>-2</v>
      </c>
      <c r="K355" s="9"/>
      <c r="L355" s="9"/>
      <c r="M355" s="9"/>
      <c r="N355" s="9"/>
    </row>
    <row r="356" spans="1:14" x14ac:dyDescent="0.25">
      <c r="A356" s="31" t="s">
        <v>698</v>
      </c>
      <c r="B356" s="19" t="s">
        <v>1058</v>
      </c>
      <c r="C356" s="40" t="s">
        <v>699</v>
      </c>
      <c r="D356" s="10">
        <v>135</v>
      </c>
      <c r="E356" s="16" t="s">
        <v>700</v>
      </c>
      <c r="F356" s="43" t="s">
        <v>1244</v>
      </c>
      <c r="G356" s="13">
        <v>6.7371860000000003</v>
      </c>
      <c r="H356" s="10">
        <v>22</v>
      </c>
      <c r="I356" s="24" t="s">
        <v>1240</v>
      </c>
      <c r="J356" s="37">
        <v>1</v>
      </c>
      <c r="K356">
        <f t="shared" ref="K356" si="205">COUNTIF(F356:F358,"t")</f>
        <v>0</v>
      </c>
      <c r="L356" s="10">
        <f t="shared" ref="L356" si="206">K356-K344</f>
        <v>0</v>
      </c>
      <c r="M356" s="10"/>
      <c r="N356" s="10"/>
    </row>
    <row r="357" spans="1:14" x14ac:dyDescent="0.25">
      <c r="A357" s="29" t="s">
        <v>701</v>
      </c>
      <c r="B357" s="18" t="s">
        <v>1058</v>
      </c>
      <c r="C357" s="39" t="s">
        <v>699</v>
      </c>
      <c r="D357">
        <v>135</v>
      </c>
      <c r="E357" s="15" t="s">
        <v>702</v>
      </c>
      <c r="F357" s="42" t="s">
        <v>1244</v>
      </c>
      <c r="G357" s="12">
        <v>1.923996</v>
      </c>
      <c r="H357">
        <v>11</v>
      </c>
      <c r="I357" s="22" t="s">
        <v>1240</v>
      </c>
      <c r="J357" s="36">
        <v>1</v>
      </c>
    </row>
    <row r="358" spans="1:14" x14ac:dyDescent="0.25">
      <c r="A358" s="30" t="s">
        <v>703</v>
      </c>
      <c r="B358" s="17" t="s">
        <v>1058</v>
      </c>
      <c r="C358" s="38" t="s">
        <v>699</v>
      </c>
      <c r="D358" s="9">
        <v>135</v>
      </c>
      <c r="E358" s="14" t="s">
        <v>685</v>
      </c>
      <c r="F358" s="41" t="s">
        <v>1244</v>
      </c>
      <c r="G358" s="11">
        <v>1.997914</v>
      </c>
      <c r="H358" s="9">
        <v>11</v>
      </c>
      <c r="I358" s="23" t="s">
        <v>1240</v>
      </c>
      <c r="J358" s="35">
        <v>1</v>
      </c>
      <c r="K358" s="9"/>
      <c r="L358" s="9"/>
      <c r="M358" s="9"/>
      <c r="N358" s="9"/>
    </row>
    <row r="359" spans="1:14" x14ac:dyDescent="0.25">
      <c r="A359" s="29" t="s">
        <v>704</v>
      </c>
      <c r="B359" s="18" t="s">
        <v>1059</v>
      </c>
      <c r="C359" s="39" t="s">
        <v>705</v>
      </c>
      <c r="D359">
        <v>137</v>
      </c>
      <c r="E359" s="15" t="s">
        <v>706</v>
      </c>
      <c r="F359" s="42" t="s">
        <v>1244</v>
      </c>
      <c r="G359" s="12">
        <v>6.4119140000000003</v>
      </c>
      <c r="H359">
        <v>22</v>
      </c>
      <c r="I359" s="22" t="s">
        <v>1064</v>
      </c>
      <c r="J359" s="36">
        <v>1</v>
      </c>
      <c r="K359">
        <f t="shared" ref="K359" si="207">COUNTIF(F359:F361,"t")</f>
        <v>1</v>
      </c>
      <c r="L359">
        <f t="shared" ref="L359" si="208">K359-K344</f>
        <v>1</v>
      </c>
    </row>
    <row r="360" spans="1:14" x14ac:dyDescent="0.25">
      <c r="A360" s="29" t="s">
        <v>707</v>
      </c>
      <c r="B360" s="18" t="s">
        <v>1059</v>
      </c>
      <c r="C360" s="39" t="s">
        <v>705</v>
      </c>
      <c r="D360">
        <v>137</v>
      </c>
      <c r="E360" s="15" t="s">
        <v>708</v>
      </c>
      <c r="F360" s="42" t="s">
        <v>1243</v>
      </c>
      <c r="G360" s="12">
        <v>3.7330390000000002</v>
      </c>
      <c r="H360">
        <v>22</v>
      </c>
      <c r="I360" s="22" t="s">
        <v>1064</v>
      </c>
      <c r="J360" s="36">
        <v>1</v>
      </c>
    </row>
    <row r="361" spans="1:14" s="9" customFormat="1" x14ac:dyDescent="0.25">
      <c r="A361" s="30" t="s">
        <v>709</v>
      </c>
      <c r="B361" s="17" t="s">
        <v>1059</v>
      </c>
      <c r="C361" s="38" t="s">
        <v>705</v>
      </c>
      <c r="D361" s="9">
        <v>137</v>
      </c>
      <c r="E361" s="14" t="s">
        <v>710</v>
      </c>
      <c r="F361" s="41" t="s">
        <v>1244</v>
      </c>
      <c r="G361" s="11">
        <v>1.7933300000000001</v>
      </c>
      <c r="H361" s="9">
        <v>11</v>
      </c>
      <c r="I361" s="23" t="s">
        <v>1064</v>
      </c>
      <c r="J361" s="35">
        <v>1</v>
      </c>
    </row>
    <row r="362" spans="1:14" x14ac:dyDescent="0.25">
      <c r="A362" s="25" t="s">
        <v>711</v>
      </c>
      <c r="B362" s="18" t="s">
        <v>1054</v>
      </c>
      <c r="C362" s="39" t="s">
        <v>712</v>
      </c>
      <c r="D362">
        <v>96</v>
      </c>
      <c r="E362" s="15" t="s">
        <v>713</v>
      </c>
      <c r="F362" s="42" t="s">
        <v>1244</v>
      </c>
      <c r="G362" s="12">
        <v>2.1837610000000001</v>
      </c>
      <c r="H362">
        <v>10</v>
      </c>
      <c r="K362">
        <f t="shared" ref="K362" si="209">COUNTIF(F362:F364,"t")</f>
        <v>0</v>
      </c>
    </row>
    <row r="363" spans="1:14" x14ac:dyDescent="0.25">
      <c r="A363" s="25" t="s">
        <v>714</v>
      </c>
      <c r="B363" s="18" t="s">
        <v>1054</v>
      </c>
      <c r="C363" s="39" t="s">
        <v>712</v>
      </c>
      <c r="D363">
        <v>96</v>
      </c>
      <c r="E363" s="15" t="s">
        <v>713</v>
      </c>
      <c r="F363" s="42" t="s">
        <v>1244</v>
      </c>
      <c r="G363" s="12">
        <v>1.509612</v>
      </c>
      <c r="H363">
        <v>10</v>
      </c>
    </row>
    <row r="364" spans="1:14" x14ac:dyDescent="0.25">
      <c r="A364" s="25" t="s">
        <v>715</v>
      </c>
      <c r="B364" s="18" t="s">
        <v>1054</v>
      </c>
      <c r="C364" s="39" t="s">
        <v>712</v>
      </c>
      <c r="D364">
        <v>96</v>
      </c>
      <c r="E364" s="15" t="s">
        <v>713</v>
      </c>
      <c r="F364" s="42" t="s">
        <v>1244</v>
      </c>
      <c r="G364" s="12">
        <v>1.552057</v>
      </c>
      <c r="H364">
        <v>10</v>
      </c>
    </row>
    <row r="365" spans="1:14" x14ac:dyDescent="0.25">
      <c r="A365" s="26" t="s">
        <v>716</v>
      </c>
      <c r="B365" s="18" t="s">
        <v>1055</v>
      </c>
      <c r="C365" s="39" t="s">
        <v>717</v>
      </c>
      <c r="D365">
        <v>113</v>
      </c>
      <c r="E365" s="15" t="s">
        <v>718</v>
      </c>
      <c r="F365" s="42" t="s">
        <v>1244</v>
      </c>
      <c r="G365" s="12">
        <v>7.817704</v>
      </c>
      <c r="H365">
        <v>42</v>
      </c>
      <c r="K365">
        <f t="shared" ref="K365" si="210">COUNTIF(F365:F367,"t")</f>
        <v>1</v>
      </c>
      <c r="L365">
        <f t="shared" ref="L365" si="211">K365-K362</f>
        <v>1</v>
      </c>
    </row>
    <row r="366" spans="1:14" x14ac:dyDescent="0.25">
      <c r="A366" s="26" t="s">
        <v>719</v>
      </c>
      <c r="B366" s="18" t="s">
        <v>1055</v>
      </c>
      <c r="C366" s="39" t="s">
        <v>717</v>
      </c>
      <c r="D366">
        <v>113</v>
      </c>
      <c r="E366" s="15" t="s">
        <v>720</v>
      </c>
      <c r="F366" s="42" t="s">
        <v>1243</v>
      </c>
      <c r="G366" s="12">
        <v>1.9110370000000001</v>
      </c>
      <c r="H366">
        <v>11</v>
      </c>
    </row>
    <row r="367" spans="1:14" x14ac:dyDescent="0.25">
      <c r="A367" s="26" t="s">
        <v>721</v>
      </c>
      <c r="B367" s="18" t="s">
        <v>1055</v>
      </c>
      <c r="C367" s="39" t="s">
        <v>717</v>
      </c>
      <c r="D367">
        <v>113</v>
      </c>
      <c r="E367" s="15" t="s">
        <v>722</v>
      </c>
      <c r="F367" s="42" t="s">
        <v>1244</v>
      </c>
      <c r="G367" s="12">
        <v>0.69310799999999995</v>
      </c>
      <c r="H367">
        <v>5</v>
      </c>
    </row>
    <row r="368" spans="1:14" x14ac:dyDescent="0.25">
      <c r="A368" s="27" t="s">
        <v>723</v>
      </c>
      <c r="B368" s="18" t="s">
        <v>1056</v>
      </c>
      <c r="C368" s="39" t="s">
        <v>724</v>
      </c>
      <c r="D368">
        <v>110</v>
      </c>
      <c r="E368" s="15" t="s">
        <v>725</v>
      </c>
      <c r="F368" s="42" t="s">
        <v>1244</v>
      </c>
      <c r="G368" s="12">
        <v>19.451543999999998</v>
      </c>
      <c r="H368">
        <v>14</v>
      </c>
      <c r="K368">
        <f t="shared" ref="K368" si="212">COUNTIF(F368:F370,"t")</f>
        <v>0</v>
      </c>
      <c r="L368">
        <f t="shared" ref="L368" si="213">K368-K362</f>
        <v>0</v>
      </c>
    </row>
    <row r="369" spans="1:14" x14ac:dyDescent="0.25">
      <c r="A369" s="27" t="s">
        <v>726</v>
      </c>
      <c r="B369" s="18" t="s">
        <v>1056</v>
      </c>
      <c r="C369" s="39" t="s">
        <v>727</v>
      </c>
      <c r="D369">
        <v>94</v>
      </c>
      <c r="E369" s="15" t="s">
        <v>728</v>
      </c>
      <c r="F369" s="42" t="s">
        <v>1244</v>
      </c>
      <c r="G369" s="12">
        <v>16.990338000000001</v>
      </c>
      <c r="H369">
        <v>11</v>
      </c>
    </row>
    <row r="370" spans="1:14" x14ac:dyDescent="0.25">
      <c r="A370" s="28" t="s">
        <v>729</v>
      </c>
      <c r="B370" s="17" t="s">
        <v>1056</v>
      </c>
      <c r="C370" s="38" t="s">
        <v>730</v>
      </c>
      <c r="D370" s="9">
        <v>111</v>
      </c>
      <c r="E370" s="14" t="s">
        <v>731</v>
      </c>
      <c r="F370" s="41" t="s">
        <v>1244</v>
      </c>
      <c r="G370" s="11">
        <v>18.375254999999999</v>
      </c>
      <c r="H370" s="9">
        <v>6</v>
      </c>
      <c r="I370" s="20"/>
      <c r="J370" s="35"/>
      <c r="K370" s="9"/>
      <c r="L370" s="9"/>
      <c r="M370" s="9"/>
      <c r="N370" s="9"/>
    </row>
    <row r="371" spans="1:14" x14ac:dyDescent="0.25">
      <c r="A371" s="29" t="s">
        <v>732</v>
      </c>
      <c r="B371" s="18" t="s">
        <v>1057</v>
      </c>
      <c r="C371" s="39" t="s">
        <v>733</v>
      </c>
      <c r="D371">
        <v>119</v>
      </c>
      <c r="E371" s="15" t="s">
        <v>734</v>
      </c>
      <c r="F371" s="42" t="s">
        <v>1244</v>
      </c>
      <c r="G371" s="12">
        <v>2.1176110000000001</v>
      </c>
      <c r="H371">
        <v>10</v>
      </c>
      <c r="I371" s="22" t="s">
        <v>1066</v>
      </c>
      <c r="J371" s="36">
        <v>1</v>
      </c>
      <c r="K371">
        <f t="shared" ref="K371" si="214">COUNTIF(F371:F373,"t")</f>
        <v>0</v>
      </c>
      <c r="L371">
        <f t="shared" ref="L371" si="215">K371-K362</f>
        <v>0</v>
      </c>
    </row>
    <row r="372" spans="1:14" x14ac:dyDescent="0.25">
      <c r="A372" s="29" t="s">
        <v>735</v>
      </c>
      <c r="B372" s="18" t="s">
        <v>1057</v>
      </c>
      <c r="C372" s="39" t="s">
        <v>733</v>
      </c>
      <c r="D372">
        <v>119</v>
      </c>
      <c r="E372" s="15" t="s">
        <v>713</v>
      </c>
      <c r="F372" s="42" t="s">
        <v>1244</v>
      </c>
      <c r="G372" s="12">
        <v>1.557059</v>
      </c>
      <c r="H372">
        <v>10</v>
      </c>
      <c r="I372" s="22" t="s">
        <v>1066</v>
      </c>
      <c r="J372" s="36">
        <v>1</v>
      </c>
    </row>
    <row r="373" spans="1:14" x14ac:dyDescent="0.25">
      <c r="A373" s="30" t="s">
        <v>736</v>
      </c>
      <c r="B373" s="17" t="s">
        <v>1057</v>
      </c>
      <c r="C373" s="38" t="s">
        <v>733</v>
      </c>
      <c r="D373" s="9">
        <v>119</v>
      </c>
      <c r="E373" s="14" t="s">
        <v>713</v>
      </c>
      <c r="F373" s="41" t="s">
        <v>1244</v>
      </c>
      <c r="G373" s="11">
        <v>1.501638</v>
      </c>
      <c r="H373" s="9">
        <v>10</v>
      </c>
      <c r="I373" s="23" t="s">
        <v>1066</v>
      </c>
      <c r="J373" s="35">
        <v>1</v>
      </c>
      <c r="K373" s="9"/>
      <c r="L373" s="9"/>
      <c r="M373" s="9"/>
      <c r="N373" s="9"/>
    </row>
    <row r="374" spans="1:14" x14ac:dyDescent="0.25">
      <c r="A374" s="31" t="s">
        <v>737</v>
      </c>
      <c r="B374" s="19" t="s">
        <v>1058</v>
      </c>
      <c r="C374" s="40" t="s">
        <v>738</v>
      </c>
      <c r="D374" s="10">
        <v>111</v>
      </c>
      <c r="E374" s="16" t="s">
        <v>739</v>
      </c>
      <c r="F374" s="43" t="s">
        <v>1244</v>
      </c>
      <c r="G374" s="13">
        <v>20.625883000000002</v>
      </c>
      <c r="H374" s="10">
        <v>102</v>
      </c>
      <c r="I374" s="24" t="s">
        <v>1242</v>
      </c>
      <c r="J374" s="37">
        <v>2</v>
      </c>
      <c r="K374">
        <f t="shared" ref="K374" si="216">COUNTIF(F374:F376,"t")</f>
        <v>0</v>
      </c>
      <c r="L374" s="10">
        <f t="shared" ref="L374" si="217">K374-K362</f>
        <v>0</v>
      </c>
      <c r="M374" s="10"/>
      <c r="N374" s="10"/>
    </row>
    <row r="375" spans="1:14" x14ac:dyDescent="0.25">
      <c r="A375" s="29" t="s">
        <v>740</v>
      </c>
      <c r="B375" s="18" t="s">
        <v>1058</v>
      </c>
      <c r="C375" s="39" t="s">
        <v>738</v>
      </c>
      <c r="D375">
        <v>111</v>
      </c>
      <c r="E375" s="15" t="s">
        <v>741</v>
      </c>
      <c r="F375" s="42" t="s">
        <v>1244</v>
      </c>
      <c r="G375" s="12">
        <v>0.75677300000000003</v>
      </c>
      <c r="H375">
        <v>5</v>
      </c>
      <c r="I375" s="22" t="s">
        <v>1242</v>
      </c>
      <c r="J375" s="36">
        <v>2</v>
      </c>
    </row>
    <row r="376" spans="1:14" x14ac:dyDescent="0.25">
      <c r="A376" s="30" t="s">
        <v>742</v>
      </c>
      <c r="B376" s="17" t="s">
        <v>1058</v>
      </c>
      <c r="C376" s="38" t="s">
        <v>738</v>
      </c>
      <c r="D376" s="9">
        <v>111</v>
      </c>
      <c r="E376" s="14" t="s">
        <v>713</v>
      </c>
      <c r="F376" s="41" t="s">
        <v>1244</v>
      </c>
      <c r="G376" s="11">
        <v>1.4933920000000001</v>
      </c>
      <c r="H376" s="9">
        <v>10</v>
      </c>
      <c r="I376" s="23" t="s">
        <v>1242</v>
      </c>
      <c r="J376" s="35">
        <v>2</v>
      </c>
      <c r="K376" s="9"/>
      <c r="L376" s="9"/>
      <c r="M376" s="9"/>
      <c r="N376" s="9"/>
    </row>
    <row r="377" spans="1:14" x14ac:dyDescent="0.25">
      <c r="A377" s="29" t="s">
        <v>743</v>
      </c>
      <c r="B377" s="18" t="s">
        <v>1059</v>
      </c>
      <c r="C377" s="39" t="s">
        <v>744</v>
      </c>
      <c r="D377">
        <v>113</v>
      </c>
      <c r="E377" s="15" t="s">
        <v>713</v>
      </c>
      <c r="F377" s="42" t="s">
        <v>1244</v>
      </c>
      <c r="G377" s="12">
        <v>3.9116249999999999</v>
      </c>
      <c r="H377">
        <v>10</v>
      </c>
      <c r="I377" s="22" t="s">
        <v>1240</v>
      </c>
      <c r="J377" s="36">
        <v>1</v>
      </c>
      <c r="K377">
        <f t="shared" ref="K377" si="218">COUNTIF(F377:F379,"t")</f>
        <v>1</v>
      </c>
      <c r="L377">
        <f t="shared" ref="L377" si="219">K377-K362</f>
        <v>1</v>
      </c>
    </row>
    <row r="378" spans="1:14" x14ac:dyDescent="0.25">
      <c r="A378" s="29" t="s">
        <v>745</v>
      </c>
      <c r="B378" s="18" t="s">
        <v>1059</v>
      </c>
      <c r="C378" s="39" t="s">
        <v>744</v>
      </c>
      <c r="D378">
        <v>113</v>
      </c>
      <c r="E378" s="15" t="s">
        <v>713</v>
      </c>
      <c r="F378" s="42" t="s">
        <v>1244</v>
      </c>
      <c r="G378" s="12">
        <v>1.5715250000000001</v>
      </c>
      <c r="H378">
        <v>10</v>
      </c>
      <c r="I378" s="22" t="s">
        <v>1240</v>
      </c>
      <c r="J378" s="36">
        <v>1</v>
      </c>
    </row>
    <row r="379" spans="1:14" s="9" customFormat="1" x14ac:dyDescent="0.25">
      <c r="A379" s="30" t="s">
        <v>746</v>
      </c>
      <c r="B379" s="17" t="s">
        <v>1059</v>
      </c>
      <c r="C379" s="38" t="s">
        <v>744</v>
      </c>
      <c r="D379" s="9">
        <v>113</v>
      </c>
      <c r="E379" s="14" t="s">
        <v>720</v>
      </c>
      <c r="F379" s="41" t="s">
        <v>1243</v>
      </c>
      <c r="G379" s="11">
        <v>1.8610120000000001</v>
      </c>
      <c r="H379" s="9">
        <v>11</v>
      </c>
      <c r="I379" s="23" t="s">
        <v>1240</v>
      </c>
      <c r="J379" s="35">
        <v>1</v>
      </c>
    </row>
    <row r="380" spans="1:14" x14ac:dyDescent="0.25">
      <c r="A380" s="25" t="s">
        <v>747</v>
      </c>
      <c r="B380" s="18" t="s">
        <v>1054</v>
      </c>
      <c r="C380" s="39" t="s">
        <v>1247</v>
      </c>
      <c r="D380">
        <v>82</v>
      </c>
      <c r="E380" t="s">
        <v>1248</v>
      </c>
      <c r="F380" s="44" t="s">
        <v>1244</v>
      </c>
      <c r="G380" s="33">
        <v>1.1612690000000001</v>
      </c>
      <c r="H380" s="12">
        <v>3</v>
      </c>
      <c r="K380">
        <f>COUNTIF(F380:F382,"t")</f>
        <v>0</v>
      </c>
    </row>
    <row r="381" spans="1:14" x14ac:dyDescent="0.25">
      <c r="A381" s="25" t="s">
        <v>749</v>
      </c>
      <c r="B381" s="18" t="s">
        <v>1054</v>
      </c>
      <c r="C381" s="39" t="s">
        <v>1247</v>
      </c>
      <c r="D381">
        <v>82</v>
      </c>
      <c r="E381" t="s">
        <v>750</v>
      </c>
      <c r="F381" s="44" t="s">
        <v>1244</v>
      </c>
      <c r="G381" s="33">
        <v>0.49877100000000002</v>
      </c>
      <c r="H381" s="12">
        <v>4</v>
      </c>
    </row>
    <row r="382" spans="1:14" x14ac:dyDescent="0.25">
      <c r="A382" s="25" t="s">
        <v>751</v>
      </c>
      <c r="B382" s="18" t="s">
        <v>1054</v>
      </c>
      <c r="C382" s="39" t="s">
        <v>1247</v>
      </c>
      <c r="D382">
        <v>82</v>
      </c>
      <c r="E382" t="s">
        <v>755</v>
      </c>
      <c r="F382" s="44" t="s">
        <v>1244</v>
      </c>
      <c r="G382" s="33">
        <v>1.6725140000000001</v>
      </c>
      <c r="H382" s="12">
        <v>12</v>
      </c>
    </row>
    <row r="383" spans="1:14" x14ac:dyDescent="0.25">
      <c r="A383" s="26" t="s">
        <v>753</v>
      </c>
      <c r="B383" s="18" t="s">
        <v>1055</v>
      </c>
      <c r="C383" s="39" t="s">
        <v>1249</v>
      </c>
      <c r="D383">
        <v>109</v>
      </c>
      <c r="E383" t="s">
        <v>752</v>
      </c>
      <c r="F383" s="44" t="s">
        <v>1243</v>
      </c>
      <c r="G383" s="33">
        <v>1.17523</v>
      </c>
      <c r="H383" s="12">
        <v>4</v>
      </c>
      <c r="K383">
        <f>COUNTIF(F383:F385,"t")</f>
        <v>1</v>
      </c>
      <c r="L383">
        <f t="shared" ref="L383" si="220">K383-K380</f>
        <v>1</v>
      </c>
    </row>
    <row r="384" spans="1:14" x14ac:dyDescent="0.25">
      <c r="A384" s="26" t="s">
        <v>754</v>
      </c>
      <c r="B384" s="18" t="s">
        <v>1055</v>
      </c>
      <c r="C384" s="39" t="s">
        <v>1249</v>
      </c>
      <c r="D384">
        <v>109</v>
      </c>
      <c r="E384" t="s">
        <v>750</v>
      </c>
      <c r="F384" s="44" t="s">
        <v>1244</v>
      </c>
      <c r="G384" s="33">
        <v>0.51115699999999997</v>
      </c>
      <c r="H384" s="12">
        <v>4</v>
      </c>
    </row>
    <row r="385" spans="1:14" x14ac:dyDescent="0.25">
      <c r="A385" s="26" t="s">
        <v>756</v>
      </c>
      <c r="B385" s="18" t="s">
        <v>1055</v>
      </c>
      <c r="C385" s="39" t="s">
        <v>1249</v>
      </c>
      <c r="D385">
        <v>109</v>
      </c>
      <c r="E385" t="s">
        <v>750</v>
      </c>
      <c r="F385" s="44" t="s">
        <v>1244</v>
      </c>
      <c r="G385" s="33">
        <v>0.49641800000000003</v>
      </c>
      <c r="H385" s="12">
        <v>4</v>
      </c>
    </row>
    <row r="386" spans="1:14" x14ac:dyDescent="0.25">
      <c r="A386" s="27" t="s">
        <v>757</v>
      </c>
      <c r="B386" s="18" t="s">
        <v>1056</v>
      </c>
      <c r="C386" s="39" t="s">
        <v>1250</v>
      </c>
      <c r="D386">
        <v>98</v>
      </c>
      <c r="E386" t="s">
        <v>750</v>
      </c>
      <c r="F386" s="44" t="s">
        <v>1244</v>
      </c>
      <c r="G386" s="33">
        <v>15.717605000000001</v>
      </c>
      <c r="H386" s="12">
        <v>4</v>
      </c>
      <c r="K386">
        <f>COUNTIF(F386:F388,"t")</f>
        <v>0</v>
      </c>
      <c r="L386">
        <f t="shared" ref="L386" si="221">K386-K380</f>
        <v>0</v>
      </c>
    </row>
    <row r="387" spans="1:14" x14ac:dyDescent="0.25">
      <c r="A387" s="27" t="s">
        <v>758</v>
      </c>
      <c r="B387" s="18" t="s">
        <v>1056</v>
      </c>
      <c r="C387" s="39" t="s">
        <v>1250</v>
      </c>
      <c r="D387">
        <v>98</v>
      </c>
      <c r="E387" t="s">
        <v>750</v>
      </c>
      <c r="F387" s="44" t="s">
        <v>1244</v>
      </c>
      <c r="G387" s="33">
        <v>14.775859000000001</v>
      </c>
      <c r="H387" s="12">
        <v>4</v>
      </c>
    </row>
    <row r="388" spans="1:14" x14ac:dyDescent="0.25">
      <c r="A388" s="28" t="s">
        <v>759</v>
      </c>
      <c r="B388" s="18" t="s">
        <v>1056</v>
      </c>
      <c r="C388" s="38" t="s">
        <v>1251</v>
      </c>
      <c r="D388" s="9">
        <v>100</v>
      </c>
      <c r="E388" s="9" t="s">
        <v>748</v>
      </c>
      <c r="F388" s="45" t="s">
        <v>1244</v>
      </c>
      <c r="G388" s="32">
        <v>16.348165000000002</v>
      </c>
      <c r="H388" s="11">
        <v>11</v>
      </c>
      <c r="I388" s="20"/>
      <c r="J388" s="35"/>
      <c r="K388" s="9"/>
      <c r="L388" s="9"/>
      <c r="M388" s="9"/>
      <c r="N388" s="9"/>
    </row>
    <row r="389" spans="1:14" x14ac:dyDescent="0.25">
      <c r="A389" s="29" t="s">
        <v>760</v>
      </c>
      <c r="B389" s="18" t="s">
        <v>1057</v>
      </c>
      <c r="C389" s="39" t="s">
        <v>1252</v>
      </c>
      <c r="D389">
        <v>97</v>
      </c>
      <c r="E389" t="s">
        <v>1253</v>
      </c>
      <c r="F389" s="44" t="s">
        <v>1244</v>
      </c>
      <c r="G389" s="33">
        <v>1.8714500000000001</v>
      </c>
      <c r="H389" s="12">
        <v>9</v>
      </c>
      <c r="I389" s="22" t="s">
        <v>1064</v>
      </c>
      <c r="J389" s="36">
        <v>2</v>
      </c>
      <c r="K389">
        <f>COUNTIF(F389:F391,"t")</f>
        <v>2</v>
      </c>
      <c r="L389">
        <f t="shared" ref="L389" si="222">K389-K380</f>
        <v>2</v>
      </c>
    </row>
    <row r="390" spans="1:14" x14ac:dyDescent="0.25">
      <c r="A390" s="29" t="s">
        <v>761</v>
      </c>
      <c r="B390" s="18" t="s">
        <v>1057</v>
      </c>
      <c r="C390" s="39" t="s">
        <v>1252</v>
      </c>
      <c r="D390">
        <v>97</v>
      </c>
      <c r="E390" t="s">
        <v>1254</v>
      </c>
      <c r="F390" s="44" t="s">
        <v>1243</v>
      </c>
      <c r="G390" s="33">
        <v>10.835490999999999</v>
      </c>
      <c r="H390" s="12">
        <v>63</v>
      </c>
      <c r="I390" s="22" t="s">
        <v>1064</v>
      </c>
      <c r="J390" s="36">
        <v>2</v>
      </c>
    </row>
    <row r="391" spans="1:14" x14ac:dyDescent="0.25">
      <c r="A391" s="30" t="s">
        <v>762</v>
      </c>
      <c r="B391" s="18" t="s">
        <v>1057</v>
      </c>
      <c r="C391" s="38" t="s">
        <v>1252</v>
      </c>
      <c r="D391" s="9">
        <v>97</v>
      </c>
      <c r="E391" s="9" t="s">
        <v>752</v>
      </c>
      <c r="F391" s="45" t="s">
        <v>1243</v>
      </c>
      <c r="G391" s="32">
        <v>0.63824099999999995</v>
      </c>
      <c r="H391" s="11">
        <v>4</v>
      </c>
      <c r="I391" s="23" t="s">
        <v>1064</v>
      </c>
      <c r="J391" s="35">
        <v>2</v>
      </c>
      <c r="K391" s="9"/>
      <c r="L391" s="9"/>
      <c r="M391" s="9"/>
      <c r="N391" s="9"/>
    </row>
    <row r="392" spans="1:14" x14ac:dyDescent="0.25">
      <c r="A392" s="31" t="s">
        <v>763</v>
      </c>
      <c r="B392" s="18" t="s">
        <v>1058</v>
      </c>
      <c r="C392" s="40" t="s">
        <v>1255</v>
      </c>
      <c r="D392" s="10">
        <v>97</v>
      </c>
      <c r="E392" s="10" t="s">
        <v>750</v>
      </c>
      <c r="F392" s="46" t="s">
        <v>1244</v>
      </c>
      <c r="G392" s="34">
        <v>2.551625</v>
      </c>
      <c r="H392" s="13">
        <v>4</v>
      </c>
      <c r="I392" s="24" t="s">
        <v>1239</v>
      </c>
      <c r="J392" s="37">
        <v>1</v>
      </c>
      <c r="K392">
        <f>COUNTIF(F392:F394,"t")</f>
        <v>0</v>
      </c>
      <c r="L392" s="10">
        <f t="shared" ref="L392" si="223">K392-K380</f>
        <v>0</v>
      </c>
      <c r="M392" s="10"/>
      <c r="N392" s="10"/>
    </row>
    <row r="393" spans="1:14" x14ac:dyDescent="0.25">
      <c r="A393" s="29" t="s">
        <v>764</v>
      </c>
      <c r="B393" s="18" t="s">
        <v>1058</v>
      </c>
      <c r="C393" s="39" t="s">
        <v>1255</v>
      </c>
      <c r="D393">
        <v>97</v>
      </c>
      <c r="E393" t="s">
        <v>1256</v>
      </c>
      <c r="F393" s="44" t="s">
        <v>1244</v>
      </c>
      <c r="G393" s="33">
        <v>0.92191900000000004</v>
      </c>
      <c r="H393" s="12">
        <v>7</v>
      </c>
      <c r="I393" s="22" t="s">
        <v>1239</v>
      </c>
      <c r="J393" s="36">
        <v>1</v>
      </c>
    </row>
    <row r="394" spans="1:14" x14ac:dyDescent="0.25">
      <c r="A394" s="30" t="s">
        <v>765</v>
      </c>
      <c r="B394" s="18" t="s">
        <v>1058</v>
      </c>
      <c r="C394" s="38" t="s">
        <v>1255</v>
      </c>
      <c r="D394" s="9">
        <v>97</v>
      </c>
      <c r="E394" s="9" t="s">
        <v>1256</v>
      </c>
      <c r="F394" s="45" t="s">
        <v>1244</v>
      </c>
      <c r="G394" s="32">
        <v>0.96028999999999998</v>
      </c>
      <c r="H394" s="11">
        <v>7</v>
      </c>
      <c r="I394" s="23" t="s">
        <v>1239</v>
      </c>
      <c r="J394" s="35">
        <v>1</v>
      </c>
      <c r="K394" s="9"/>
      <c r="L394" s="9"/>
      <c r="M394" s="9"/>
      <c r="N394" s="9"/>
    </row>
    <row r="395" spans="1:14" x14ac:dyDescent="0.25">
      <c r="A395" s="29" t="s">
        <v>766</v>
      </c>
      <c r="B395" s="18" t="s">
        <v>1059</v>
      </c>
      <c r="C395" s="39" t="s">
        <v>1257</v>
      </c>
      <c r="D395">
        <v>93</v>
      </c>
      <c r="E395" t="s">
        <v>752</v>
      </c>
      <c r="F395" s="44" t="s">
        <v>1243</v>
      </c>
      <c r="G395" s="33">
        <v>1.986316</v>
      </c>
      <c r="H395" s="12">
        <v>4</v>
      </c>
      <c r="I395" s="22" t="s">
        <v>1242</v>
      </c>
      <c r="J395" s="36">
        <v>2</v>
      </c>
      <c r="K395">
        <f>COUNTIF(F395:F397,"t")</f>
        <v>1</v>
      </c>
      <c r="L395">
        <f t="shared" ref="L395" si="224">K395-K380</f>
        <v>1</v>
      </c>
    </row>
    <row r="396" spans="1:14" x14ac:dyDescent="0.25">
      <c r="A396" s="29" t="s">
        <v>767</v>
      </c>
      <c r="B396" s="18" t="s">
        <v>1059</v>
      </c>
      <c r="C396" s="39" t="s">
        <v>1257</v>
      </c>
      <c r="D396">
        <v>93</v>
      </c>
      <c r="E396" t="s">
        <v>1258</v>
      </c>
      <c r="F396" s="44" t="s">
        <v>1244</v>
      </c>
      <c r="G396" s="33">
        <v>3.0663860000000001</v>
      </c>
      <c r="H396" s="12">
        <v>20</v>
      </c>
      <c r="I396" s="22" t="s">
        <v>1242</v>
      </c>
      <c r="J396" s="36">
        <v>2</v>
      </c>
    </row>
    <row r="397" spans="1:14" s="9" customFormat="1" x14ac:dyDescent="0.25">
      <c r="A397" s="30" t="s">
        <v>768</v>
      </c>
      <c r="B397" s="17" t="s">
        <v>1059</v>
      </c>
      <c r="C397" s="38" t="s">
        <v>1257</v>
      </c>
      <c r="D397" s="9">
        <v>93</v>
      </c>
      <c r="E397" s="9" t="s">
        <v>755</v>
      </c>
      <c r="F397" s="45" t="s">
        <v>1244</v>
      </c>
      <c r="G397" s="32">
        <v>2.0055909999999999</v>
      </c>
      <c r="H397" s="11">
        <v>12</v>
      </c>
      <c r="I397" s="23" t="s">
        <v>1242</v>
      </c>
      <c r="J397" s="35">
        <v>2</v>
      </c>
    </row>
    <row r="398" spans="1:14" x14ac:dyDescent="0.25">
      <c r="A398" s="25" t="s">
        <v>769</v>
      </c>
      <c r="B398" s="18" t="s">
        <v>1054</v>
      </c>
      <c r="C398" s="39" t="s">
        <v>770</v>
      </c>
      <c r="D398">
        <v>99</v>
      </c>
      <c r="E398" s="15" t="s">
        <v>771</v>
      </c>
      <c r="F398" s="42" t="s">
        <v>1243</v>
      </c>
      <c r="G398" s="12">
        <v>2.6938219999999999</v>
      </c>
      <c r="H398">
        <v>14</v>
      </c>
      <c r="K398">
        <f t="shared" ref="K398" si="225">COUNTIF(F398:F400,"t")</f>
        <v>2</v>
      </c>
    </row>
    <row r="399" spans="1:14" x14ac:dyDescent="0.25">
      <c r="A399" s="25" t="s">
        <v>772</v>
      </c>
      <c r="B399" s="18" t="s">
        <v>1054</v>
      </c>
      <c r="C399" s="39" t="s">
        <v>770</v>
      </c>
      <c r="D399">
        <v>99</v>
      </c>
      <c r="E399" s="15" t="s">
        <v>773</v>
      </c>
      <c r="F399" s="42" t="s">
        <v>1244</v>
      </c>
      <c r="G399" s="12">
        <v>8.2982510000000005</v>
      </c>
      <c r="H399">
        <v>45</v>
      </c>
    </row>
    <row r="400" spans="1:14" x14ac:dyDescent="0.25">
      <c r="A400" s="25" t="s">
        <v>774</v>
      </c>
      <c r="B400" s="18" t="s">
        <v>1054</v>
      </c>
      <c r="C400" s="39" t="s">
        <v>770</v>
      </c>
      <c r="D400">
        <v>99</v>
      </c>
      <c r="E400" s="15" t="s">
        <v>775</v>
      </c>
      <c r="F400" s="42" t="s">
        <v>1243</v>
      </c>
      <c r="G400" s="12">
        <v>6.4401250000000001</v>
      </c>
      <c r="H400">
        <v>33</v>
      </c>
    </row>
    <row r="401" spans="1:14" x14ac:dyDescent="0.25">
      <c r="A401" s="26" t="s">
        <v>776</v>
      </c>
      <c r="B401" s="18" t="s">
        <v>1055</v>
      </c>
      <c r="C401" s="39" t="s">
        <v>777</v>
      </c>
      <c r="D401">
        <v>122</v>
      </c>
      <c r="E401" s="15" t="s">
        <v>778</v>
      </c>
      <c r="F401" s="42" t="s">
        <v>1244</v>
      </c>
      <c r="G401" s="12">
        <v>2.7574740000000002</v>
      </c>
      <c r="H401">
        <v>14</v>
      </c>
      <c r="K401">
        <f t="shared" ref="K401" si="226">COUNTIF(F401:F403,"t")</f>
        <v>0</v>
      </c>
      <c r="L401">
        <f t="shared" ref="L401" si="227">K401-K398</f>
        <v>-2</v>
      </c>
    </row>
    <row r="402" spans="1:14" x14ac:dyDescent="0.25">
      <c r="A402" s="26" t="s">
        <v>779</v>
      </c>
      <c r="B402" s="18" t="s">
        <v>1055</v>
      </c>
      <c r="C402" s="39" t="s">
        <v>777</v>
      </c>
      <c r="D402">
        <v>122</v>
      </c>
      <c r="E402" s="15" t="s">
        <v>780</v>
      </c>
      <c r="F402" s="42" t="s">
        <v>1244</v>
      </c>
      <c r="G402" s="12">
        <v>2.1835399999999998</v>
      </c>
      <c r="H402">
        <v>14</v>
      </c>
    </row>
    <row r="403" spans="1:14" x14ac:dyDescent="0.25">
      <c r="A403" s="26" t="s">
        <v>781</v>
      </c>
      <c r="B403" s="18" t="s">
        <v>1055</v>
      </c>
      <c r="C403" s="39" t="s">
        <v>777</v>
      </c>
      <c r="D403">
        <v>122</v>
      </c>
      <c r="E403" s="15" t="s">
        <v>782</v>
      </c>
      <c r="F403" s="42" t="s">
        <v>1244</v>
      </c>
      <c r="G403" s="12">
        <v>2.948623</v>
      </c>
      <c r="H403">
        <v>17</v>
      </c>
    </row>
    <row r="404" spans="1:14" x14ac:dyDescent="0.25">
      <c r="A404" s="27" t="s">
        <v>783</v>
      </c>
      <c r="B404" s="18" t="s">
        <v>1056</v>
      </c>
      <c r="C404" s="39" t="s">
        <v>784</v>
      </c>
      <c r="D404">
        <v>157</v>
      </c>
      <c r="E404" s="15" t="s">
        <v>473</v>
      </c>
      <c r="F404" s="42" t="s">
        <v>1244</v>
      </c>
      <c r="G404" s="12">
        <v>29.295256999999999</v>
      </c>
      <c r="H404">
        <v>3</v>
      </c>
      <c r="K404">
        <f t="shared" ref="K404" si="228">COUNTIF(F404:F406,"t")</f>
        <v>0</v>
      </c>
      <c r="L404">
        <f t="shared" ref="L404" si="229">K404-K398</f>
        <v>-2</v>
      </c>
    </row>
    <row r="405" spans="1:14" x14ac:dyDescent="0.25">
      <c r="A405" s="27" t="s">
        <v>785</v>
      </c>
      <c r="B405" s="18" t="s">
        <v>1056</v>
      </c>
      <c r="C405" s="39" t="s">
        <v>786</v>
      </c>
      <c r="D405">
        <v>97</v>
      </c>
      <c r="E405" s="15" t="s">
        <v>787</v>
      </c>
      <c r="F405" s="42" t="s">
        <v>1244</v>
      </c>
      <c r="G405" s="12">
        <v>22.316282000000001</v>
      </c>
      <c r="H405">
        <v>36</v>
      </c>
    </row>
    <row r="406" spans="1:14" x14ac:dyDescent="0.25">
      <c r="A406" s="28" t="s">
        <v>788</v>
      </c>
      <c r="B406" s="17" t="s">
        <v>1056</v>
      </c>
      <c r="C406" s="38" t="s">
        <v>789</v>
      </c>
      <c r="D406" s="9">
        <v>143</v>
      </c>
      <c r="E406" s="14" t="s">
        <v>790</v>
      </c>
      <c r="F406" s="41" t="s">
        <v>1244</v>
      </c>
      <c r="G406" s="11">
        <v>36.572333999999998</v>
      </c>
      <c r="H406" s="9">
        <v>58</v>
      </c>
      <c r="I406" s="20"/>
      <c r="J406" s="35"/>
      <c r="K406" s="9"/>
      <c r="L406" s="9"/>
      <c r="M406" s="9"/>
      <c r="N406" s="9"/>
    </row>
    <row r="407" spans="1:14" x14ac:dyDescent="0.25">
      <c r="A407" s="29" t="s">
        <v>791</v>
      </c>
      <c r="B407" s="18" t="s">
        <v>1057</v>
      </c>
      <c r="C407" s="39" t="s">
        <v>792</v>
      </c>
      <c r="D407">
        <v>117</v>
      </c>
      <c r="E407" s="15" t="s">
        <v>793</v>
      </c>
      <c r="F407" s="42" t="s">
        <v>1244</v>
      </c>
      <c r="G407" s="12">
        <v>13.401085</v>
      </c>
      <c r="H407">
        <v>70</v>
      </c>
      <c r="I407" s="22" t="s">
        <v>1063</v>
      </c>
      <c r="J407" s="36">
        <v>-2</v>
      </c>
      <c r="K407">
        <f t="shared" ref="K407" si="230">COUNTIF(F407:F409,"t")</f>
        <v>0</v>
      </c>
      <c r="L407">
        <f t="shared" ref="L407" si="231">K407-K398</f>
        <v>-2</v>
      </c>
    </row>
    <row r="408" spans="1:14" x14ac:dyDescent="0.25">
      <c r="A408" s="29" t="s">
        <v>794</v>
      </c>
      <c r="B408" s="18" t="s">
        <v>1057</v>
      </c>
      <c r="C408" s="39" t="s">
        <v>792</v>
      </c>
      <c r="D408">
        <v>117</v>
      </c>
      <c r="E408" s="15" t="s">
        <v>795</v>
      </c>
      <c r="F408" s="42" t="s">
        <v>1244</v>
      </c>
      <c r="G408" s="12">
        <v>10.512105</v>
      </c>
      <c r="H408">
        <v>53</v>
      </c>
      <c r="I408" s="22" t="s">
        <v>1063</v>
      </c>
      <c r="J408" s="36">
        <v>-2</v>
      </c>
    </row>
    <row r="409" spans="1:14" x14ac:dyDescent="0.25">
      <c r="A409" s="30" t="s">
        <v>796</v>
      </c>
      <c r="B409" s="17" t="s">
        <v>1057</v>
      </c>
      <c r="C409" s="38" t="s">
        <v>792</v>
      </c>
      <c r="D409" s="9">
        <v>117</v>
      </c>
      <c r="E409" s="14" t="s">
        <v>797</v>
      </c>
      <c r="F409" s="41" t="s">
        <v>1244</v>
      </c>
      <c r="G409" s="11">
        <v>10.300896</v>
      </c>
      <c r="H409" s="9">
        <v>51</v>
      </c>
      <c r="I409" s="23" t="s">
        <v>1063</v>
      </c>
      <c r="J409" s="35">
        <v>-2</v>
      </c>
      <c r="K409" s="9"/>
      <c r="L409" s="9"/>
      <c r="M409" s="9"/>
      <c r="N409" s="9"/>
    </row>
    <row r="410" spans="1:14" x14ac:dyDescent="0.25">
      <c r="A410" s="31" t="s">
        <v>798</v>
      </c>
      <c r="B410" s="19" t="s">
        <v>1058</v>
      </c>
      <c r="C410" s="40" t="s">
        <v>799</v>
      </c>
      <c r="D410" s="10">
        <v>108</v>
      </c>
      <c r="E410" s="16" t="s">
        <v>800</v>
      </c>
      <c r="F410" s="43" t="s">
        <v>1243</v>
      </c>
      <c r="G410" s="13">
        <v>6.9280629999999999</v>
      </c>
      <c r="H410" s="10">
        <v>29</v>
      </c>
      <c r="I410" s="24" t="s">
        <v>1240</v>
      </c>
      <c r="J410" s="37">
        <v>1</v>
      </c>
      <c r="K410">
        <f t="shared" ref="K410" si="232">COUNTIF(F410:F412,"t")</f>
        <v>1</v>
      </c>
      <c r="L410" s="10">
        <f t="shared" ref="L410" si="233">K410-K398</f>
        <v>-1</v>
      </c>
      <c r="M410" s="10"/>
      <c r="N410" s="10"/>
    </row>
    <row r="411" spans="1:14" x14ac:dyDescent="0.25">
      <c r="A411" s="29" t="s">
        <v>801</v>
      </c>
      <c r="B411" s="18" t="s">
        <v>1058</v>
      </c>
      <c r="C411" s="39" t="s">
        <v>799</v>
      </c>
      <c r="D411">
        <v>108</v>
      </c>
      <c r="E411" s="15" t="s">
        <v>802</v>
      </c>
      <c r="F411" s="42" t="s">
        <v>1244</v>
      </c>
      <c r="G411" s="12">
        <v>18.992778999999999</v>
      </c>
      <c r="H411">
        <v>97</v>
      </c>
      <c r="I411" s="22" t="s">
        <v>1240</v>
      </c>
      <c r="J411" s="36">
        <v>1</v>
      </c>
    </row>
    <row r="412" spans="1:14" x14ac:dyDescent="0.25">
      <c r="A412" s="30" t="s">
        <v>803</v>
      </c>
      <c r="B412" s="17" t="s">
        <v>1058</v>
      </c>
      <c r="C412" s="38" t="s">
        <v>799</v>
      </c>
      <c r="D412" s="9">
        <v>108</v>
      </c>
      <c r="E412" s="14" t="s">
        <v>804</v>
      </c>
      <c r="F412" s="41" t="s">
        <v>1244</v>
      </c>
      <c r="G412" s="11">
        <v>8.0820019999999992</v>
      </c>
      <c r="H412" s="9">
        <v>38</v>
      </c>
      <c r="I412" s="23" t="s">
        <v>1240</v>
      </c>
      <c r="J412" s="35">
        <v>1</v>
      </c>
      <c r="K412" s="9"/>
      <c r="L412" s="9"/>
      <c r="M412" s="9"/>
      <c r="N412" s="9"/>
    </row>
    <row r="413" spans="1:14" x14ac:dyDescent="0.25">
      <c r="A413" s="29" t="s">
        <v>805</v>
      </c>
      <c r="B413" s="18" t="s">
        <v>1059</v>
      </c>
      <c r="C413" s="39" t="s">
        <v>806</v>
      </c>
      <c r="D413">
        <v>109</v>
      </c>
      <c r="E413" s="15" t="s">
        <v>807</v>
      </c>
      <c r="F413" s="42" t="s">
        <v>1243</v>
      </c>
      <c r="G413" s="12">
        <v>13.468842</v>
      </c>
      <c r="H413">
        <v>57</v>
      </c>
      <c r="I413" s="22" t="s">
        <v>1240</v>
      </c>
      <c r="J413" s="36">
        <v>1</v>
      </c>
      <c r="K413">
        <f t="shared" ref="K413" si="234">COUNTIF(F413:F415,"t")</f>
        <v>2</v>
      </c>
      <c r="L413">
        <f t="shared" ref="L413" si="235">K413-K398</f>
        <v>0</v>
      </c>
    </row>
    <row r="414" spans="1:14" x14ac:dyDescent="0.25">
      <c r="A414" s="29" t="s">
        <v>808</v>
      </c>
      <c r="B414" s="18" t="s">
        <v>1059</v>
      </c>
      <c r="C414" s="39" t="s">
        <v>806</v>
      </c>
      <c r="D414">
        <v>109</v>
      </c>
      <c r="E414" s="15" t="s">
        <v>809</v>
      </c>
      <c r="F414" s="42" t="s">
        <v>1243</v>
      </c>
      <c r="G414" s="12">
        <v>13.963799</v>
      </c>
      <c r="H414">
        <v>63</v>
      </c>
      <c r="I414" s="22" t="s">
        <v>1240</v>
      </c>
      <c r="J414" s="36">
        <v>1</v>
      </c>
    </row>
    <row r="415" spans="1:14" s="9" customFormat="1" x14ac:dyDescent="0.25">
      <c r="A415" s="30" t="s">
        <v>810</v>
      </c>
      <c r="B415" s="17" t="s">
        <v>1059</v>
      </c>
      <c r="C415" s="38" t="s">
        <v>806</v>
      </c>
      <c r="D415" s="9">
        <v>109</v>
      </c>
      <c r="E415" s="14" t="s">
        <v>811</v>
      </c>
      <c r="F415" s="41" t="s">
        <v>1244</v>
      </c>
      <c r="G415" s="11">
        <v>6.032953</v>
      </c>
      <c r="H415" s="9">
        <v>28</v>
      </c>
      <c r="I415" s="23" t="s">
        <v>1240</v>
      </c>
      <c r="J415" s="35">
        <v>1</v>
      </c>
    </row>
    <row r="416" spans="1:14" x14ac:dyDescent="0.25">
      <c r="A416" s="25" t="s">
        <v>812</v>
      </c>
      <c r="B416" s="18" t="s">
        <v>1054</v>
      </c>
      <c r="C416" s="39" t="s">
        <v>813</v>
      </c>
      <c r="D416">
        <v>89</v>
      </c>
      <c r="E416" s="15" t="s">
        <v>814</v>
      </c>
      <c r="F416" s="42" t="s">
        <v>1244</v>
      </c>
      <c r="G416" s="12">
        <v>2.5755970000000001</v>
      </c>
      <c r="H416">
        <v>11</v>
      </c>
      <c r="K416">
        <f t="shared" ref="K416" si="236">COUNTIF(F416:F418,"t")</f>
        <v>0</v>
      </c>
    </row>
    <row r="417" spans="1:14" x14ac:dyDescent="0.25">
      <c r="A417" s="25" t="s">
        <v>815</v>
      </c>
      <c r="B417" s="18" t="s">
        <v>1054</v>
      </c>
      <c r="C417" s="39" t="s">
        <v>813</v>
      </c>
      <c r="D417">
        <v>89</v>
      </c>
      <c r="E417" s="15" t="s">
        <v>816</v>
      </c>
      <c r="F417" s="42" t="s">
        <v>1244</v>
      </c>
      <c r="G417" s="12">
        <v>1.3154239999999999</v>
      </c>
      <c r="H417">
        <v>8</v>
      </c>
    </row>
    <row r="418" spans="1:14" x14ac:dyDescent="0.25">
      <c r="A418" s="25" t="s">
        <v>817</v>
      </c>
      <c r="B418" s="18" t="s">
        <v>1054</v>
      </c>
      <c r="C418" s="39" t="s">
        <v>813</v>
      </c>
      <c r="D418">
        <v>89</v>
      </c>
      <c r="E418" s="15" t="s">
        <v>814</v>
      </c>
      <c r="F418" s="42" t="s">
        <v>1244</v>
      </c>
      <c r="G418" s="12">
        <v>1.9195329999999999</v>
      </c>
      <c r="H418">
        <v>11</v>
      </c>
    </row>
    <row r="419" spans="1:14" x14ac:dyDescent="0.25">
      <c r="A419" s="26" t="s">
        <v>818</v>
      </c>
      <c r="B419" s="18" t="s">
        <v>1055</v>
      </c>
      <c r="C419" s="39" t="s">
        <v>819</v>
      </c>
      <c r="D419">
        <v>98</v>
      </c>
      <c r="E419" s="15" t="s">
        <v>820</v>
      </c>
      <c r="F419" s="42" t="s">
        <v>1244</v>
      </c>
      <c r="G419" s="12">
        <v>1.79356</v>
      </c>
      <c r="H419">
        <v>7</v>
      </c>
      <c r="K419">
        <f t="shared" ref="K419" si="237">COUNTIF(F419:F421,"t")</f>
        <v>0</v>
      </c>
      <c r="L419">
        <f t="shared" ref="L419" si="238">K419-K416</f>
        <v>0</v>
      </c>
    </row>
    <row r="420" spans="1:14" x14ac:dyDescent="0.25">
      <c r="A420" s="26" t="s">
        <v>821</v>
      </c>
      <c r="B420" s="18" t="s">
        <v>1055</v>
      </c>
      <c r="C420" s="39" t="s">
        <v>819</v>
      </c>
      <c r="D420">
        <v>98</v>
      </c>
      <c r="E420" s="15" t="s">
        <v>21</v>
      </c>
      <c r="F420" s="42" t="s">
        <v>1244</v>
      </c>
      <c r="G420" s="12">
        <v>0.42537900000000001</v>
      </c>
      <c r="H420">
        <v>3</v>
      </c>
    </row>
    <row r="421" spans="1:14" x14ac:dyDescent="0.25">
      <c r="A421" s="26" t="s">
        <v>822</v>
      </c>
      <c r="B421" s="18" t="s">
        <v>1055</v>
      </c>
      <c r="C421" s="39" t="s">
        <v>819</v>
      </c>
      <c r="D421">
        <v>98</v>
      </c>
      <c r="E421" s="15" t="s">
        <v>21</v>
      </c>
      <c r="F421" s="42" t="s">
        <v>1244</v>
      </c>
      <c r="G421" s="12">
        <v>0.41340199999999999</v>
      </c>
      <c r="H421">
        <v>3</v>
      </c>
    </row>
    <row r="422" spans="1:14" x14ac:dyDescent="0.25">
      <c r="A422" s="27" t="s">
        <v>823</v>
      </c>
      <c r="B422" s="18" t="s">
        <v>1056</v>
      </c>
      <c r="C422" s="39" t="s">
        <v>824</v>
      </c>
      <c r="D422">
        <v>100</v>
      </c>
      <c r="E422" s="15" t="s">
        <v>21</v>
      </c>
      <c r="F422" s="42" t="s">
        <v>1244</v>
      </c>
      <c r="G422" s="12">
        <v>18.086124000000002</v>
      </c>
      <c r="H422">
        <v>3</v>
      </c>
      <c r="K422">
        <f t="shared" ref="K422" si="239">COUNTIF(F422:F424,"t")</f>
        <v>0</v>
      </c>
      <c r="L422">
        <f t="shared" ref="L422" si="240">K422-K416</f>
        <v>0</v>
      </c>
    </row>
    <row r="423" spans="1:14" x14ac:dyDescent="0.25">
      <c r="A423" s="27" t="s">
        <v>825</v>
      </c>
      <c r="B423" s="18" t="s">
        <v>1056</v>
      </c>
      <c r="C423" s="39" t="s">
        <v>826</v>
      </c>
      <c r="D423">
        <v>108</v>
      </c>
      <c r="E423" s="15" t="s">
        <v>827</v>
      </c>
      <c r="F423" s="42" t="s">
        <v>1244</v>
      </c>
      <c r="G423" s="12">
        <v>18.767923</v>
      </c>
      <c r="H423">
        <v>4</v>
      </c>
    </row>
    <row r="424" spans="1:14" x14ac:dyDescent="0.25">
      <c r="A424" s="28" t="s">
        <v>828</v>
      </c>
      <c r="B424" s="17" t="s">
        <v>1056</v>
      </c>
      <c r="C424" s="38" t="s">
        <v>829</v>
      </c>
      <c r="D424" s="9">
        <v>102</v>
      </c>
      <c r="E424" s="14" t="s">
        <v>21</v>
      </c>
      <c r="F424" s="41" t="s">
        <v>1244</v>
      </c>
      <c r="G424" s="11">
        <v>18.426774000000002</v>
      </c>
      <c r="H424" s="9">
        <v>3</v>
      </c>
      <c r="I424" s="20"/>
      <c r="J424" s="35"/>
      <c r="K424" s="9"/>
      <c r="L424" s="9"/>
      <c r="M424" s="9"/>
      <c r="N424" s="9"/>
    </row>
    <row r="425" spans="1:14" x14ac:dyDescent="0.25">
      <c r="A425" s="29" t="s">
        <v>830</v>
      </c>
      <c r="B425" s="18" t="s">
        <v>1057</v>
      </c>
      <c r="C425" s="39" t="s">
        <v>831</v>
      </c>
      <c r="D425">
        <v>103</v>
      </c>
      <c r="E425" s="15" t="s">
        <v>827</v>
      </c>
      <c r="F425" s="42" t="s">
        <v>1244</v>
      </c>
      <c r="G425" s="12">
        <v>1.3235189999999999</v>
      </c>
      <c r="H425">
        <v>4</v>
      </c>
      <c r="I425" s="22" t="s">
        <v>1064</v>
      </c>
      <c r="J425" s="36">
        <v>2</v>
      </c>
      <c r="K425">
        <f t="shared" ref="K425" si="241">COUNTIF(F425:F427,"t")</f>
        <v>0</v>
      </c>
      <c r="L425">
        <f t="shared" ref="L425" si="242">K425-K416</f>
        <v>0</v>
      </c>
    </row>
    <row r="426" spans="1:14" x14ac:dyDescent="0.25">
      <c r="A426" s="29" t="s">
        <v>832</v>
      </c>
      <c r="B426" s="18" t="s">
        <v>1057</v>
      </c>
      <c r="C426" s="39" t="s">
        <v>831</v>
      </c>
      <c r="D426">
        <v>103</v>
      </c>
      <c r="E426" s="15" t="s">
        <v>21</v>
      </c>
      <c r="F426" s="42" t="s">
        <v>1244</v>
      </c>
      <c r="G426" s="12">
        <v>0.42565999999999998</v>
      </c>
      <c r="H426">
        <v>3</v>
      </c>
      <c r="I426" s="22" t="s">
        <v>1064</v>
      </c>
      <c r="J426" s="36">
        <v>2</v>
      </c>
    </row>
    <row r="427" spans="1:14" x14ac:dyDescent="0.25">
      <c r="A427" s="30" t="s">
        <v>833</v>
      </c>
      <c r="B427" s="17" t="s">
        <v>1057</v>
      </c>
      <c r="C427" s="38" t="s">
        <v>831</v>
      </c>
      <c r="D427" s="9">
        <v>103</v>
      </c>
      <c r="E427" s="14" t="s">
        <v>21</v>
      </c>
      <c r="F427" s="41" t="s">
        <v>1244</v>
      </c>
      <c r="G427" s="11">
        <v>0.43600299999999997</v>
      </c>
      <c r="H427" s="9">
        <v>3</v>
      </c>
      <c r="I427" s="23" t="s">
        <v>1064</v>
      </c>
      <c r="J427" s="35">
        <v>2</v>
      </c>
      <c r="K427" s="9"/>
      <c r="L427" s="9"/>
      <c r="M427" s="9"/>
      <c r="N427" s="9"/>
    </row>
    <row r="428" spans="1:14" x14ac:dyDescent="0.25">
      <c r="A428" s="31" t="s">
        <v>834</v>
      </c>
      <c r="B428" s="19" t="s">
        <v>1058</v>
      </c>
      <c r="C428" s="40" t="s">
        <v>835</v>
      </c>
      <c r="D428" s="10">
        <v>101</v>
      </c>
      <c r="E428" s="16" t="s">
        <v>836</v>
      </c>
      <c r="F428" s="43" t="s">
        <v>1243</v>
      </c>
      <c r="G428" s="13">
        <v>4.596279</v>
      </c>
      <c r="H428" s="10">
        <v>11</v>
      </c>
      <c r="I428" s="24" t="s">
        <v>1240</v>
      </c>
      <c r="J428" s="37">
        <v>1</v>
      </c>
      <c r="K428">
        <f t="shared" ref="K428" si="243">COUNTIF(F428:F430,"t")</f>
        <v>1</v>
      </c>
      <c r="L428" s="10">
        <f t="shared" ref="L428" si="244">K428-K416</f>
        <v>1</v>
      </c>
      <c r="M428" s="10"/>
      <c r="N428" s="10"/>
    </row>
    <row r="429" spans="1:14" x14ac:dyDescent="0.25">
      <c r="A429" s="29" t="s">
        <v>837</v>
      </c>
      <c r="B429" s="18" t="s">
        <v>1058</v>
      </c>
      <c r="C429" s="39" t="s">
        <v>835</v>
      </c>
      <c r="D429">
        <v>101</v>
      </c>
      <c r="E429" s="15" t="s">
        <v>838</v>
      </c>
      <c r="F429" s="42" t="s">
        <v>1244</v>
      </c>
      <c r="G429" s="12">
        <v>1.965765</v>
      </c>
      <c r="H429">
        <v>12</v>
      </c>
      <c r="I429" s="22" t="s">
        <v>1240</v>
      </c>
      <c r="J429" s="36">
        <v>1</v>
      </c>
    </row>
    <row r="430" spans="1:14" x14ac:dyDescent="0.25">
      <c r="A430" s="30" t="s">
        <v>839</v>
      </c>
      <c r="B430" s="17" t="s">
        <v>1058</v>
      </c>
      <c r="C430" s="38" t="s">
        <v>835</v>
      </c>
      <c r="D430" s="9">
        <v>101</v>
      </c>
      <c r="E430" s="14" t="s">
        <v>827</v>
      </c>
      <c r="F430" s="41" t="s">
        <v>1244</v>
      </c>
      <c r="G430" s="11">
        <v>0.57957000000000003</v>
      </c>
      <c r="H430" s="9">
        <v>4</v>
      </c>
      <c r="I430" s="23" t="s">
        <v>1240</v>
      </c>
      <c r="J430" s="35">
        <v>1</v>
      </c>
      <c r="K430" s="9"/>
      <c r="L430" s="9"/>
      <c r="M430" s="9"/>
      <c r="N430" s="9"/>
    </row>
    <row r="431" spans="1:14" x14ac:dyDescent="0.25">
      <c r="A431" s="29" t="s">
        <v>840</v>
      </c>
      <c r="B431" s="18" t="s">
        <v>1059</v>
      </c>
      <c r="C431" s="39" t="s">
        <v>841</v>
      </c>
      <c r="D431">
        <v>102</v>
      </c>
      <c r="E431" s="15" t="s">
        <v>820</v>
      </c>
      <c r="F431" s="42" t="s">
        <v>1244</v>
      </c>
      <c r="G431" s="12">
        <v>3.040527</v>
      </c>
      <c r="H431">
        <v>7</v>
      </c>
      <c r="I431" s="22" t="s">
        <v>1240</v>
      </c>
      <c r="J431" s="36">
        <v>1</v>
      </c>
      <c r="K431">
        <f t="shared" ref="K431" si="245">COUNTIF(F431:F433,"t")</f>
        <v>0</v>
      </c>
      <c r="L431">
        <f t="shared" ref="L431" si="246">K431-K416</f>
        <v>0</v>
      </c>
    </row>
    <row r="432" spans="1:14" x14ac:dyDescent="0.25">
      <c r="A432" s="29" t="s">
        <v>842</v>
      </c>
      <c r="B432" s="18" t="s">
        <v>1059</v>
      </c>
      <c r="C432" s="39" t="s">
        <v>841</v>
      </c>
      <c r="D432">
        <v>102</v>
      </c>
      <c r="E432" s="15" t="s">
        <v>816</v>
      </c>
      <c r="F432" s="42" t="s">
        <v>1244</v>
      </c>
      <c r="G432" s="12">
        <v>1.6050709999999999</v>
      </c>
      <c r="H432">
        <v>8</v>
      </c>
      <c r="I432" s="22" t="s">
        <v>1240</v>
      </c>
      <c r="J432" s="36">
        <v>1</v>
      </c>
    </row>
    <row r="433" spans="1:14" s="9" customFormat="1" x14ac:dyDescent="0.25">
      <c r="A433" s="30" t="s">
        <v>843</v>
      </c>
      <c r="B433" s="17" t="s">
        <v>1059</v>
      </c>
      <c r="C433" s="38" t="s">
        <v>841</v>
      </c>
      <c r="D433" s="9">
        <v>102</v>
      </c>
      <c r="E433" s="14" t="s">
        <v>820</v>
      </c>
      <c r="F433" s="41" t="s">
        <v>1244</v>
      </c>
      <c r="G433" s="11">
        <v>0.99155400000000005</v>
      </c>
      <c r="H433" s="9">
        <v>7</v>
      </c>
      <c r="I433" s="23" t="s">
        <v>1240</v>
      </c>
      <c r="J433" s="35">
        <v>1</v>
      </c>
    </row>
    <row r="434" spans="1:14" x14ac:dyDescent="0.25">
      <c r="A434" s="25" t="s">
        <v>844</v>
      </c>
      <c r="B434" s="18" t="s">
        <v>1054</v>
      </c>
      <c r="C434" s="39" t="s">
        <v>845</v>
      </c>
      <c r="D434">
        <v>86</v>
      </c>
      <c r="E434" s="15" t="s">
        <v>846</v>
      </c>
      <c r="F434" s="42" t="s">
        <v>1243</v>
      </c>
      <c r="G434" s="12">
        <v>1.2892440000000001</v>
      </c>
      <c r="H434">
        <v>5</v>
      </c>
      <c r="K434">
        <f t="shared" ref="K434" si="247">COUNTIF(F434:F436,"t")</f>
        <v>3</v>
      </c>
    </row>
    <row r="435" spans="1:14" x14ac:dyDescent="0.25">
      <c r="A435" s="25" t="s">
        <v>847</v>
      </c>
      <c r="B435" s="18" t="s">
        <v>1054</v>
      </c>
      <c r="C435" s="39" t="s">
        <v>845</v>
      </c>
      <c r="D435">
        <v>86</v>
      </c>
      <c r="E435" s="15" t="s">
        <v>848</v>
      </c>
      <c r="F435" s="42" t="s">
        <v>1243</v>
      </c>
      <c r="G435" s="12">
        <v>1.8412360000000001</v>
      </c>
      <c r="H435">
        <v>12</v>
      </c>
    </row>
    <row r="436" spans="1:14" x14ac:dyDescent="0.25">
      <c r="A436" s="25" t="s">
        <v>849</v>
      </c>
      <c r="B436" s="18" t="s">
        <v>1054</v>
      </c>
      <c r="C436" s="39" t="s">
        <v>845</v>
      </c>
      <c r="D436">
        <v>86</v>
      </c>
      <c r="E436" s="15" t="s">
        <v>850</v>
      </c>
      <c r="F436" s="42" t="s">
        <v>1243</v>
      </c>
      <c r="G436" s="12">
        <v>1.4097440000000001</v>
      </c>
      <c r="H436">
        <v>9</v>
      </c>
    </row>
    <row r="437" spans="1:14" x14ac:dyDescent="0.25">
      <c r="A437" s="26" t="s">
        <v>851</v>
      </c>
      <c r="B437" s="18" t="s">
        <v>1055</v>
      </c>
      <c r="C437" s="39" t="s">
        <v>852</v>
      </c>
      <c r="D437">
        <v>103</v>
      </c>
      <c r="E437" s="15" t="s">
        <v>853</v>
      </c>
      <c r="F437" s="42" t="s">
        <v>1244</v>
      </c>
      <c r="G437" s="12">
        <v>9.7464560000000002</v>
      </c>
      <c r="H437">
        <v>52</v>
      </c>
      <c r="K437">
        <f t="shared" ref="K437" si="248">COUNTIF(F437:F439,"t")</f>
        <v>2</v>
      </c>
      <c r="L437">
        <f t="shared" ref="L437" si="249">K437-K434</f>
        <v>-1</v>
      </c>
    </row>
    <row r="438" spans="1:14" x14ac:dyDescent="0.25">
      <c r="A438" s="26" t="s">
        <v>854</v>
      </c>
      <c r="B438" s="18" t="s">
        <v>1055</v>
      </c>
      <c r="C438" s="39" t="s">
        <v>852</v>
      </c>
      <c r="D438">
        <v>103</v>
      </c>
      <c r="E438" s="15" t="s">
        <v>855</v>
      </c>
      <c r="F438" s="42" t="s">
        <v>1243</v>
      </c>
      <c r="G438" s="12">
        <v>1.5870089999999999</v>
      </c>
      <c r="H438">
        <v>9</v>
      </c>
    </row>
    <row r="439" spans="1:14" x14ac:dyDescent="0.25">
      <c r="A439" s="26" t="s">
        <v>856</v>
      </c>
      <c r="B439" s="18" t="s">
        <v>1055</v>
      </c>
      <c r="C439" s="39" t="s">
        <v>852</v>
      </c>
      <c r="D439">
        <v>103</v>
      </c>
      <c r="E439" s="15" t="s">
        <v>846</v>
      </c>
      <c r="F439" s="42" t="s">
        <v>1243</v>
      </c>
      <c r="G439" s="12">
        <v>0.73440099999999997</v>
      </c>
      <c r="H439">
        <v>5</v>
      </c>
    </row>
    <row r="440" spans="1:14" x14ac:dyDescent="0.25">
      <c r="A440" s="27" t="s">
        <v>857</v>
      </c>
      <c r="B440" s="18" t="s">
        <v>1056</v>
      </c>
      <c r="C440" s="39" t="s">
        <v>858</v>
      </c>
      <c r="D440">
        <v>108</v>
      </c>
      <c r="E440" s="15" t="s">
        <v>859</v>
      </c>
      <c r="F440" s="42" t="s">
        <v>1244</v>
      </c>
      <c r="G440" s="12">
        <v>19.724440999999999</v>
      </c>
      <c r="H440">
        <v>7</v>
      </c>
      <c r="K440">
        <f t="shared" ref="K440" si="250">COUNTIF(F440:F442,"t")</f>
        <v>2</v>
      </c>
      <c r="L440">
        <f t="shared" ref="L440" si="251">K440-K434</f>
        <v>-1</v>
      </c>
    </row>
    <row r="441" spans="1:14" x14ac:dyDescent="0.25">
      <c r="A441" s="27" t="s">
        <v>860</v>
      </c>
      <c r="B441" s="18" t="s">
        <v>1056</v>
      </c>
      <c r="C441" s="39" t="s">
        <v>861</v>
      </c>
      <c r="D441">
        <v>107</v>
      </c>
      <c r="E441" s="15" t="s">
        <v>846</v>
      </c>
      <c r="F441" s="42" t="s">
        <v>1243</v>
      </c>
      <c r="G441" s="12">
        <v>17.945981</v>
      </c>
      <c r="H441">
        <v>5</v>
      </c>
    </row>
    <row r="442" spans="1:14" x14ac:dyDescent="0.25">
      <c r="A442" s="28" t="s">
        <v>862</v>
      </c>
      <c r="B442" s="17" t="s">
        <v>1056</v>
      </c>
      <c r="C442" s="38" t="s">
        <v>861</v>
      </c>
      <c r="D442" s="9">
        <v>107</v>
      </c>
      <c r="E442" s="14" t="s">
        <v>846</v>
      </c>
      <c r="F442" s="41" t="s">
        <v>1243</v>
      </c>
      <c r="G442" s="11">
        <v>18.902691999999998</v>
      </c>
      <c r="H442" s="9">
        <v>5</v>
      </c>
      <c r="I442" s="20"/>
      <c r="J442" s="35"/>
      <c r="K442" s="9"/>
      <c r="L442" s="9"/>
      <c r="M442" s="9"/>
      <c r="N442" s="9"/>
    </row>
    <row r="443" spans="1:14" x14ac:dyDescent="0.25">
      <c r="A443" s="29" t="s">
        <v>863</v>
      </c>
      <c r="B443" s="18" t="s">
        <v>1057</v>
      </c>
      <c r="C443" s="39" t="s">
        <v>864</v>
      </c>
      <c r="D443">
        <v>99</v>
      </c>
      <c r="E443" s="15" t="s">
        <v>865</v>
      </c>
      <c r="F443" s="42" t="s">
        <v>1243</v>
      </c>
      <c r="G443" s="12">
        <v>2.4821420000000001</v>
      </c>
      <c r="H443">
        <v>12</v>
      </c>
      <c r="I443" s="22" t="s">
        <v>1242</v>
      </c>
      <c r="J443" s="36">
        <v>2</v>
      </c>
      <c r="K443">
        <f t="shared" ref="K443" si="252">COUNTIF(F443:F445,"t")</f>
        <v>3</v>
      </c>
      <c r="L443">
        <f t="shared" ref="L443" si="253">K443-K434</f>
        <v>0</v>
      </c>
    </row>
    <row r="444" spans="1:14" x14ac:dyDescent="0.25">
      <c r="A444" s="29" t="s">
        <v>866</v>
      </c>
      <c r="B444" s="18" t="s">
        <v>1057</v>
      </c>
      <c r="C444" s="39" t="s">
        <v>864</v>
      </c>
      <c r="D444">
        <v>99</v>
      </c>
      <c r="E444" s="15" t="s">
        <v>850</v>
      </c>
      <c r="F444" s="42" t="s">
        <v>1243</v>
      </c>
      <c r="G444" s="12">
        <v>1.3619950000000001</v>
      </c>
      <c r="H444">
        <v>9</v>
      </c>
      <c r="I444" s="22" t="s">
        <v>1242</v>
      </c>
      <c r="J444" s="36">
        <v>2</v>
      </c>
    </row>
    <row r="445" spans="1:14" x14ac:dyDescent="0.25">
      <c r="A445" s="30" t="s">
        <v>867</v>
      </c>
      <c r="B445" s="17" t="s">
        <v>1057</v>
      </c>
      <c r="C445" s="38" t="s">
        <v>864</v>
      </c>
      <c r="D445" s="9">
        <v>99</v>
      </c>
      <c r="E445" s="14" t="s">
        <v>850</v>
      </c>
      <c r="F445" s="41" t="s">
        <v>1243</v>
      </c>
      <c r="G445" s="11">
        <v>1.471603</v>
      </c>
      <c r="H445" s="9">
        <v>9</v>
      </c>
      <c r="I445" s="23" t="s">
        <v>1242</v>
      </c>
      <c r="J445" s="35">
        <v>2</v>
      </c>
      <c r="K445" s="9"/>
      <c r="L445" s="9"/>
      <c r="M445" s="9"/>
      <c r="N445" s="9"/>
    </row>
    <row r="446" spans="1:14" x14ac:dyDescent="0.25">
      <c r="A446" s="31" t="s">
        <v>868</v>
      </c>
      <c r="B446" s="19" t="s">
        <v>1058</v>
      </c>
      <c r="C446" s="40" t="s">
        <v>869</v>
      </c>
      <c r="D446" s="10">
        <v>101</v>
      </c>
      <c r="E446" s="16" t="s">
        <v>870</v>
      </c>
      <c r="F446" s="43" t="s">
        <v>1244</v>
      </c>
      <c r="G446" s="13">
        <v>4.1667439999999996</v>
      </c>
      <c r="H446" s="10">
        <v>13</v>
      </c>
      <c r="I446" s="24" t="s">
        <v>1240</v>
      </c>
      <c r="J446" s="37">
        <v>1</v>
      </c>
      <c r="K446">
        <f t="shared" ref="K446" si="254">COUNTIF(F446:F448,"t")</f>
        <v>2</v>
      </c>
      <c r="L446" s="10">
        <f t="shared" ref="L446" si="255">K446-K434</f>
        <v>-1</v>
      </c>
      <c r="M446" s="10"/>
      <c r="N446" s="10"/>
    </row>
    <row r="447" spans="1:14" x14ac:dyDescent="0.25">
      <c r="A447" s="29" t="s">
        <v>871</v>
      </c>
      <c r="B447" s="18" t="s">
        <v>1058</v>
      </c>
      <c r="C447" s="39" t="s">
        <v>869</v>
      </c>
      <c r="D447">
        <v>101</v>
      </c>
      <c r="E447" s="15" t="s">
        <v>850</v>
      </c>
      <c r="F447" s="42" t="s">
        <v>1243</v>
      </c>
      <c r="G447" s="12">
        <v>1.456671</v>
      </c>
      <c r="H447">
        <v>9</v>
      </c>
      <c r="I447" s="22" t="s">
        <v>1240</v>
      </c>
      <c r="J447" s="36">
        <v>1</v>
      </c>
    </row>
    <row r="448" spans="1:14" x14ac:dyDescent="0.25">
      <c r="A448" s="30" t="s">
        <v>872</v>
      </c>
      <c r="B448" s="17" t="s">
        <v>1058</v>
      </c>
      <c r="C448" s="38" t="s">
        <v>869</v>
      </c>
      <c r="D448" s="9">
        <v>101</v>
      </c>
      <c r="E448" s="14" t="s">
        <v>855</v>
      </c>
      <c r="F448" s="41" t="s">
        <v>1243</v>
      </c>
      <c r="G448" s="11">
        <v>1.5606610000000001</v>
      </c>
      <c r="H448" s="9">
        <v>9</v>
      </c>
      <c r="I448" s="23" t="s">
        <v>1240</v>
      </c>
      <c r="J448" s="35">
        <v>1</v>
      </c>
      <c r="K448" s="9"/>
      <c r="L448" s="9"/>
      <c r="M448" s="9"/>
      <c r="N448" s="9"/>
    </row>
    <row r="449" spans="1:14" x14ac:dyDescent="0.25">
      <c r="A449" s="29" t="s">
        <v>873</v>
      </c>
      <c r="B449" s="18" t="s">
        <v>1059</v>
      </c>
      <c r="C449" s="39" t="s">
        <v>874</v>
      </c>
      <c r="D449">
        <v>99</v>
      </c>
      <c r="E449" s="15" t="s">
        <v>875</v>
      </c>
      <c r="F449" s="42" t="s">
        <v>1243</v>
      </c>
      <c r="G449" s="12">
        <v>10.610792999999999</v>
      </c>
      <c r="H449">
        <v>42</v>
      </c>
      <c r="I449" s="22" t="s">
        <v>1240</v>
      </c>
      <c r="J449" s="36">
        <v>1</v>
      </c>
      <c r="K449">
        <f t="shared" ref="K449" si="256">COUNTIF(F449:F451,"t")</f>
        <v>3</v>
      </c>
      <c r="L449">
        <f t="shared" ref="L449" si="257">K449-K434</f>
        <v>0</v>
      </c>
    </row>
    <row r="450" spans="1:14" x14ac:dyDescent="0.25">
      <c r="A450" s="29" t="s">
        <v>876</v>
      </c>
      <c r="B450" s="18" t="s">
        <v>1059</v>
      </c>
      <c r="C450" s="39" t="s">
        <v>874</v>
      </c>
      <c r="D450">
        <v>99</v>
      </c>
      <c r="E450" s="15" t="s">
        <v>846</v>
      </c>
      <c r="F450" s="42" t="s">
        <v>1243</v>
      </c>
      <c r="G450" s="12">
        <v>0.73310299999999995</v>
      </c>
      <c r="H450">
        <v>5</v>
      </c>
      <c r="I450" s="22" t="s">
        <v>1240</v>
      </c>
      <c r="J450" s="36">
        <v>1</v>
      </c>
    </row>
    <row r="451" spans="1:14" s="9" customFormat="1" x14ac:dyDescent="0.25">
      <c r="A451" s="30" t="s">
        <v>877</v>
      </c>
      <c r="B451" s="17" t="s">
        <v>1059</v>
      </c>
      <c r="C451" s="38" t="s">
        <v>874</v>
      </c>
      <c r="D451" s="9">
        <v>99</v>
      </c>
      <c r="E451" s="14" t="s">
        <v>878</v>
      </c>
      <c r="F451" s="41" t="s">
        <v>1243</v>
      </c>
      <c r="G451" s="11">
        <v>2.3935689999999998</v>
      </c>
      <c r="H451" s="9">
        <v>13</v>
      </c>
      <c r="I451" s="23" t="s">
        <v>1240</v>
      </c>
      <c r="J451" s="35">
        <v>1</v>
      </c>
    </row>
    <row r="452" spans="1:14" x14ac:dyDescent="0.25">
      <c r="A452" s="25" t="s">
        <v>879</v>
      </c>
      <c r="B452" s="18" t="s">
        <v>1054</v>
      </c>
      <c r="C452" s="39" t="s">
        <v>880</v>
      </c>
      <c r="D452">
        <v>76</v>
      </c>
      <c r="E452" s="15" t="s">
        <v>614</v>
      </c>
      <c r="F452" s="42" t="s">
        <v>1244</v>
      </c>
      <c r="G452" s="12">
        <v>1.9296009999999999</v>
      </c>
      <c r="H452">
        <v>7</v>
      </c>
      <c r="K452">
        <f t="shared" ref="K452" si="258">COUNTIF(F452:F454,"t")</f>
        <v>0</v>
      </c>
    </row>
    <row r="453" spans="1:14" x14ac:dyDescent="0.25">
      <c r="A453" s="25" t="s">
        <v>881</v>
      </c>
      <c r="B453" s="18" t="s">
        <v>1054</v>
      </c>
      <c r="C453" s="39" t="s">
        <v>880</v>
      </c>
      <c r="D453">
        <v>76</v>
      </c>
      <c r="E453" s="15" t="s">
        <v>882</v>
      </c>
      <c r="F453" s="42" t="s">
        <v>1244</v>
      </c>
      <c r="G453" s="12">
        <v>1.8262389999999999</v>
      </c>
      <c r="H453">
        <v>11</v>
      </c>
    </row>
    <row r="454" spans="1:14" x14ac:dyDescent="0.25">
      <c r="A454" s="25" t="s">
        <v>883</v>
      </c>
      <c r="B454" s="18" t="s">
        <v>1054</v>
      </c>
      <c r="C454" s="39" t="s">
        <v>880</v>
      </c>
      <c r="D454">
        <v>76</v>
      </c>
      <c r="E454" s="15" t="s">
        <v>884</v>
      </c>
      <c r="F454" s="42" t="s">
        <v>1244</v>
      </c>
      <c r="G454" s="12">
        <v>1.923047</v>
      </c>
      <c r="H454">
        <v>11</v>
      </c>
    </row>
    <row r="455" spans="1:14" x14ac:dyDescent="0.25">
      <c r="A455" s="26" t="s">
        <v>885</v>
      </c>
      <c r="B455" s="18" t="s">
        <v>1055</v>
      </c>
      <c r="C455" s="39" t="s">
        <v>886</v>
      </c>
      <c r="D455">
        <v>99</v>
      </c>
      <c r="E455" s="15" t="s">
        <v>887</v>
      </c>
      <c r="F455" s="42" t="s">
        <v>1244</v>
      </c>
      <c r="G455" s="12">
        <v>1.313712</v>
      </c>
      <c r="H455">
        <v>4</v>
      </c>
      <c r="K455">
        <f t="shared" ref="K455" si="259">COUNTIF(F455:F457,"t")</f>
        <v>0</v>
      </c>
      <c r="L455">
        <f t="shared" ref="L455" si="260">K455-K452</f>
        <v>0</v>
      </c>
    </row>
    <row r="456" spans="1:14" x14ac:dyDescent="0.25">
      <c r="A456" s="26" t="s">
        <v>888</v>
      </c>
      <c r="B456" s="18" t="s">
        <v>1055</v>
      </c>
      <c r="C456" s="39" t="s">
        <v>886</v>
      </c>
      <c r="D456">
        <v>99</v>
      </c>
      <c r="E456" s="15" t="s">
        <v>889</v>
      </c>
      <c r="F456" s="42" t="s">
        <v>1244</v>
      </c>
      <c r="G456" s="12">
        <v>2.5664020000000001</v>
      </c>
      <c r="H456">
        <v>15</v>
      </c>
    </row>
    <row r="457" spans="1:14" x14ac:dyDescent="0.25">
      <c r="A457" s="26" t="s">
        <v>890</v>
      </c>
      <c r="B457" s="18" t="s">
        <v>1055</v>
      </c>
      <c r="C457" s="39" t="s">
        <v>886</v>
      </c>
      <c r="D457">
        <v>99</v>
      </c>
      <c r="E457" s="15" t="s">
        <v>891</v>
      </c>
      <c r="F457" s="42" t="s">
        <v>1244</v>
      </c>
      <c r="G457" s="12">
        <v>1.124123</v>
      </c>
      <c r="H457">
        <v>7</v>
      </c>
    </row>
    <row r="458" spans="1:14" x14ac:dyDescent="0.25">
      <c r="A458" s="27" t="s">
        <v>892</v>
      </c>
      <c r="B458" s="18" t="s">
        <v>1056</v>
      </c>
      <c r="C458" s="39" t="s">
        <v>893</v>
      </c>
      <c r="D458">
        <v>91</v>
      </c>
      <c r="E458" s="15" t="s">
        <v>891</v>
      </c>
      <c r="F458" s="42" t="s">
        <v>1244</v>
      </c>
      <c r="G458" s="12">
        <v>17.007628</v>
      </c>
      <c r="H458">
        <v>7</v>
      </c>
      <c r="K458">
        <f t="shared" ref="K458" si="261">COUNTIF(F458:F460,"t")</f>
        <v>0</v>
      </c>
      <c r="L458">
        <f t="shared" ref="L458" si="262">K458-K452</f>
        <v>0</v>
      </c>
    </row>
    <row r="459" spans="1:14" x14ac:dyDescent="0.25">
      <c r="A459" s="27" t="s">
        <v>894</v>
      </c>
      <c r="B459" s="18" t="s">
        <v>1056</v>
      </c>
      <c r="C459" s="39" t="s">
        <v>895</v>
      </c>
      <c r="D459">
        <v>86</v>
      </c>
      <c r="E459" s="15" t="s">
        <v>896</v>
      </c>
      <c r="F459" s="42" t="s">
        <v>1244</v>
      </c>
      <c r="G459" s="12">
        <v>17.883751</v>
      </c>
      <c r="H459">
        <v>18</v>
      </c>
    </row>
    <row r="460" spans="1:14" x14ac:dyDescent="0.25">
      <c r="A460" s="28" t="s">
        <v>897</v>
      </c>
      <c r="B460" s="17" t="s">
        <v>1056</v>
      </c>
      <c r="C460" s="38" t="s">
        <v>898</v>
      </c>
      <c r="D460" s="9">
        <v>88</v>
      </c>
      <c r="E460" s="14" t="s">
        <v>899</v>
      </c>
      <c r="F460" s="41" t="s">
        <v>1244</v>
      </c>
      <c r="G460" s="11">
        <v>17.608557999999999</v>
      </c>
      <c r="H460" s="9">
        <v>14</v>
      </c>
      <c r="I460" s="20"/>
      <c r="J460" s="35"/>
      <c r="K460" s="9"/>
      <c r="L460" s="9"/>
      <c r="M460" s="9"/>
      <c r="N460" s="9"/>
    </row>
    <row r="461" spans="1:14" x14ac:dyDescent="0.25">
      <c r="A461" s="29" t="s">
        <v>900</v>
      </c>
      <c r="B461" s="18" t="s">
        <v>1057</v>
      </c>
      <c r="C461" s="39" t="s">
        <v>901</v>
      </c>
      <c r="D461">
        <v>94</v>
      </c>
      <c r="E461" s="15" t="s">
        <v>902</v>
      </c>
      <c r="F461" s="42" t="s">
        <v>1244</v>
      </c>
      <c r="G461" s="12">
        <v>4.660215</v>
      </c>
      <c r="H461">
        <v>23</v>
      </c>
      <c r="I461" s="22" t="s">
        <v>1065</v>
      </c>
      <c r="J461" s="36">
        <v>-2</v>
      </c>
      <c r="K461">
        <f t="shared" ref="K461" si="263">COUNTIF(F461:F463,"t")</f>
        <v>0</v>
      </c>
      <c r="L461">
        <f t="shared" ref="L461" si="264">K461-K452</f>
        <v>0</v>
      </c>
    </row>
    <row r="462" spans="1:14" x14ac:dyDescent="0.25">
      <c r="A462" s="29" t="s">
        <v>903</v>
      </c>
      <c r="B462" s="18" t="s">
        <v>1057</v>
      </c>
      <c r="C462" s="39" t="s">
        <v>901</v>
      </c>
      <c r="D462">
        <v>94</v>
      </c>
      <c r="E462" s="15" t="s">
        <v>904</v>
      </c>
      <c r="F462" s="42" t="s">
        <v>1244</v>
      </c>
      <c r="G462" s="12">
        <v>10.599427</v>
      </c>
      <c r="H462">
        <v>52</v>
      </c>
      <c r="I462" s="22" t="s">
        <v>1065</v>
      </c>
      <c r="J462" s="36">
        <v>-2</v>
      </c>
    </row>
    <row r="463" spans="1:14" x14ac:dyDescent="0.25">
      <c r="A463" s="30" t="s">
        <v>905</v>
      </c>
      <c r="B463" s="17" t="s">
        <v>1057</v>
      </c>
      <c r="C463" s="38" t="s">
        <v>901</v>
      </c>
      <c r="D463" s="9">
        <v>94</v>
      </c>
      <c r="E463" s="14" t="s">
        <v>906</v>
      </c>
      <c r="F463" s="41" t="s">
        <v>1244</v>
      </c>
      <c r="G463" s="11">
        <v>9.7123209999999993</v>
      </c>
      <c r="H463" s="9">
        <v>44</v>
      </c>
      <c r="I463" s="23" t="s">
        <v>1065</v>
      </c>
      <c r="J463" s="35">
        <v>-2</v>
      </c>
      <c r="K463" s="9"/>
      <c r="L463" s="9"/>
      <c r="M463" s="9"/>
      <c r="N463" s="9"/>
    </row>
    <row r="464" spans="1:14" x14ac:dyDescent="0.25">
      <c r="A464" s="31" t="s">
        <v>907</v>
      </c>
      <c r="B464" s="19" t="s">
        <v>1058</v>
      </c>
      <c r="C464" s="40" t="s">
        <v>908</v>
      </c>
      <c r="D464" s="10">
        <v>91</v>
      </c>
      <c r="E464" s="16" t="s">
        <v>909</v>
      </c>
      <c r="F464" s="43" t="s">
        <v>1244</v>
      </c>
      <c r="G464" s="13">
        <v>5.1634010000000004</v>
      </c>
      <c r="H464" s="10">
        <v>15</v>
      </c>
      <c r="I464" s="24" t="s">
        <v>1240</v>
      </c>
      <c r="J464" s="37">
        <v>1</v>
      </c>
      <c r="K464">
        <f t="shared" ref="K464" si="265">COUNTIF(F464:F466,"t")</f>
        <v>0</v>
      </c>
      <c r="L464" s="10">
        <f t="shared" ref="L464" si="266">K464-K452</f>
        <v>0</v>
      </c>
      <c r="M464" s="10"/>
      <c r="N464" s="10"/>
    </row>
    <row r="465" spans="1:14" x14ac:dyDescent="0.25">
      <c r="A465" s="29" t="s">
        <v>910</v>
      </c>
      <c r="B465" s="18" t="s">
        <v>1058</v>
      </c>
      <c r="C465" s="39" t="s">
        <v>908</v>
      </c>
      <c r="D465">
        <v>91</v>
      </c>
      <c r="E465" s="15" t="s">
        <v>614</v>
      </c>
      <c r="F465" s="42" t="s">
        <v>1244</v>
      </c>
      <c r="G465" s="12">
        <v>1.142841</v>
      </c>
      <c r="H465">
        <v>7</v>
      </c>
      <c r="I465" s="22" t="s">
        <v>1240</v>
      </c>
      <c r="J465" s="36">
        <v>1</v>
      </c>
    </row>
    <row r="466" spans="1:14" x14ac:dyDescent="0.25">
      <c r="A466" s="30" t="s">
        <v>911</v>
      </c>
      <c r="B466" s="17" t="s">
        <v>1058</v>
      </c>
      <c r="C466" s="38" t="s">
        <v>908</v>
      </c>
      <c r="D466" s="9">
        <v>91</v>
      </c>
      <c r="E466" s="14" t="s">
        <v>891</v>
      </c>
      <c r="F466" s="41" t="s">
        <v>1244</v>
      </c>
      <c r="G466" s="11">
        <v>1.213916</v>
      </c>
      <c r="H466" s="9">
        <v>7</v>
      </c>
      <c r="I466" s="23" t="s">
        <v>1240</v>
      </c>
      <c r="J466" s="35">
        <v>1</v>
      </c>
      <c r="K466" s="9"/>
      <c r="L466" s="9"/>
      <c r="M466" s="9"/>
      <c r="N466" s="9"/>
    </row>
    <row r="467" spans="1:14" x14ac:dyDescent="0.25">
      <c r="A467" s="29" t="s">
        <v>912</v>
      </c>
      <c r="B467" s="18" t="s">
        <v>1059</v>
      </c>
      <c r="C467" s="39" t="s">
        <v>913</v>
      </c>
      <c r="D467">
        <v>87</v>
      </c>
      <c r="E467" s="15" t="s">
        <v>909</v>
      </c>
      <c r="F467" s="42" t="s">
        <v>1244</v>
      </c>
      <c r="G467" s="12">
        <v>4.8183670000000003</v>
      </c>
      <c r="H467">
        <v>15</v>
      </c>
      <c r="I467" s="22" t="s">
        <v>1240</v>
      </c>
      <c r="J467" s="36">
        <v>1</v>
      </c>
      <c r="K467">
        <f t="shared" ref="K467" si="267">COUNTIF(F467:F469,"t")</f>
        <v>0</v>
      </c>
      <c r="L467">
        <f t="shared" ref="L467" si="268">K467-K452</f>
        <v>0</v>
      </c>
    </row>
    <row r="468" spans="1:14" x14ac:dyDescent="0.25">
      <c r="A468" s="29" t="s">
        <v>914</v>
      </c>
      <c r="B468" s="18" t="s">
        <v>1059</v>
      </c>
      <c r="C468" s="39" t="s">
        <v>913</v>
      </c>
      <c r="D468">
        <v>87</v>
      </c>
      <c r="E468" s="15" t="s">
        <v>891</v>
      </c>
      <c r="F468" s="42" t="s">
        <v>1244</v>
      </c>
      <c r="G468" s="12">
        <v>1.20814</v>
      </c>
      <c r="H468">
        <v>7</v>
      </c>
      <c r="I468" s="22" t="s">
        <v>1240</v>
      </c>
      <c r="J468" s="36">
        <v>1</v>
      </c>
    </row>
    <row r="469" spans="1:14" s="9" customFormat="1" x14ac:dyDescent="0.25">
      <c r="A469" s="30" t="s">
        <v>915</v>
      </c>
      <c r="B469" s="17" t="s">
        <v>1059</v>
      </c>
      <c r="C469" s="38" t="s">
        <v>913</v>
      </c>
      <c r="D469" s="9">
        <v>87</v>
      </c>
      <c r="E469" s="14" t="s">
        <v>614</v>
      </c>
      <c r="F469" s="41" t="s">
        <v>1244</v>
      </c>
      <c r="G469" s="11">
        <v>1.254129</v>
      </c>
      <c r="H469" s="9">
        <v>7</v>
      </c>
      <c r="I469" s="23" t="s">
        <v>1240</v>
      </c>
      <c r="J469" s="35">
        <v>1</v>
      </c>
    </row>
    <row r="470" spans="1:14" x14ac:dyDescent="0.25">
      <c r="A470" s="25" t="s">
        <v>916</v>
      </c>
      <c r="B470" s="18" t="s">
        <v>1054</v>
      </c>
      <c r="C470" s="39" t="s">
        <v>917</v>
      </c>
      <c r="D470">
        <v>116</v>
      </c>
      <c r="E470" s="15" t="s">
        <v>918</v>
      </c>
      <c r="F470" s="42" t="s">
        <v>1243</v>
      </c>
      <c r="G470" s="12">
        <v>2.3808389999999999</v>
      </c>
      <c r="H470">
        <v>10</v>
      </c>
      <c r="K470">
        <f t="shared" ref="K470" si="269">COUNTIF(F470:F472,"t")</f>
        <v>1</v>
      </c>
    </row>
    <row r="471" spans="1:14" x14ac:dyDescent="0.25">
      <c r="A471" s="25" t="s">
        <v>919</v>
      </c>
      <c r="B471" s="18" t="s">
        <v>1054</v>
      </c>
      <c r="C471" s="39" t="s">
        <v>917</v>
      </c>
      <c r="D471">
        <v>116</v>
      </c>
      <c r="E471" s="15" t="s">
        <v>920</v>
      </c>
      <c r="F471" s="42" t="s">
        <v>1244</v>
      </c>
      <c r="G471" s="12">
        <v>1.676269</v>
      </c>
      <c r="H471">
        <v>10</v>
      </c>
    </row>
    <row r="472" spans="1:14" x14ac:dyDescent="0.25">
      <c r="A472" s="25" t="s">
        <v>921</v>
      </c>
      <c r="B472" s="18" t="s">
        <v>1054</v>
      </c>
      <c r="C472" s="39" t="s">
        <v>917</v>
      </c>
      <c r="D472">
        <v>116</v>
      </c>
      <c r="E472" s="15" t="s">
        <v>920</v>
      </c>
      <c r="F472" s="42" t="s">
        <v>1244</v>
      </c>
      <c r="G472" s="12">
        <v>1.764494</v>
      </c>
      <c r="H472">
        <v>10</v>
      </c>
    </row>
    <row r="473" spans="1:14" x14ac:dyDescent="0.25">
      <c r="A473" s="26" t="s">
        <v>922</v>
      </c>
      <c r="B473" s="18" t="s">
        <v>1055</v>
      </c>
      <c r="C473" s="39" t="s">
        <v>923</v>
      </c>
      <c r="D473">
        <v>145</v>
      </c>
      <c r="E473" s="15" t="s">
        <v>920</v>
      </c>
      <c r="F473" s="42" t="s">
        <v>1244</v>
      </c>
      <c r="G473" s="12">
        <v>2.5863109999999998</v>
      </c>
      <c r="H473">
        <v>10</v>
      </c>
      <c r="K473">
        <f t="shared" ref="K473" si="270">COUNTIF(F473:F475,"t")</f>
        <v>0</v>
      </c>
      <c r="L473">
        <f t="shared" ref="L473" si="271">K473-K470</f>
        <v>-1</v>
      </c>
    </row>
    <row r="474" spans="1:14" x14ac:dyDescent="0.25">
      <c r="A474" s="26" t="s">
        <v>924</v>
      </c>
      <c r="B474" s="18" t="s">
        <v>1055</v>
      </c>
      <c r="C474" s="39" t="s">
        <v>923</v>
      </c>
      <c r="D474">
        <v>145</v>
      </c>
      <c r="E474" s="15" t="s">
        <v>920</v>
      </c>
      <c r="F474" s="42" t="s">
        <v>1244</v>
      </c>
      <c r="G474" s="12">
        <v>1.7178020000000001</v>
      </c>
      <c r="H474">
        <v>10</v>
      </c>
    </row>
    <row r="475" spans="1:14" x14ac:dyDescent="0.25">
      <c r="A475" s="26" t="s">
        <v>925</v>
      </c>
      <c r="B475" s="18" t="s">
        <v>1055</v>
      </c>
      <c r="C475" s="39" t="s">
        <v>923</v>
      </c>
      <c r="D475">
        <v>145</v>
      </c>
      <c r="E475" s="15" t="s">
        <v>920</v>
      </c>
      <c r="F475" s="42" t="s">
        <v>1244</v>
      </c>
      <c r="G475" s="12">
        <v>1.7402260000000001</v>
      </c>
      <c r="H475">
        <v>10</v>
      </c>
    </row>
    <row r="476" spans="1:14" x14ac:dyDescent="0.25">
      <c r="A476" s="27" t="s">
        <v>926</v>
      </c>
      <c r="B476" s="18" t="s">
        <v>1056</v>
      </c>
      <c r="C476" s="39" t="s">
        <v>927</v>
      </c>
      <c r="D476">
        <v>114</v>
      </c>
      <c r="E476" s="15" t="s">
        <v>928</v>
      </c>
      <c r="F476" s="42" t="s">
        <v>1244</v>
      </c>
      <c r="G476" s="12">
        <v>31.566262999999999</v>
      </c>
      <c r="H476">
        <v>58</v>
      </c>
      <c r="K476">
        <f t="shared" ref="K476" si="272">COUNTIF(F476:F478,"t")</f>
        <v>1</v>
      </c>
      <c r="L476">
        <f t="shared" ref="L476" si="273">K476-K470</f>
        <v>0</v>
      </c>
    </row>
    <row r="477" spans="1:14" x14ac:dyDescent="0.25">
      <c r="A477" s="27" t="s">
        <v>929</v>
      </c>
      <c r="B477" s="18" t="s">
        <v>1056</v>
      </c>
      <c r="C477" s="39" t="s">
        <v>930</v>
      </c>
      <c r="D477">
        <v>124</v>
      </c>
      <c r="E477" s="15" t="s">
        <v>920</v>
      </c>
      <c r="F477" s="42" t="s">
        <v>1244</v>
      </c>
      <c r="G477" s="12">
        <v>24.624966000000001</v>
      </c>
      <c r="H477">
        <v>10</v>
      </c>
    </row>
    <row r="478" spans="1:14" x14ac:dyDescent="0.25">
      <c r="A478" s="28" t="s">
        <v>931</v>
      </c>
      <c r="B478" s="17" t="s">
        <v>1056</v>
      </c>
      <c r="C478" s="38" t="s">
        <v>932</v>
      </c>
      <c r="D478" s="9">
        <v>118</v>
      </c>
      <c r="E478" s="14" t="s">
        <v>918</v>
      </c>
      <c r="F478" s="41" t="s">
        <v>1243</v>
      </c>
      <c r="G478" s="11">
        <v>23.512184000000001</v>
      </c>
      <c r="H478" s="9">
        <v>10</v>
      </c>
      <c r="I478" s="20"/>
      <c r="J478" s="35"/>
      <c r="K478" s="9"/>
      <c r="L478" s="9"/>
      <c r="M478" s="9"/>
      <c r="N478" s="9"/>
    </row>
    <row r="479" spans="1:14" x14ac:dyDescent="0.25">
      <c r="A479" s="29" t="s">
        <v>933</v>
      </c>
      <c r="B479" s="18" t="s">
        <v>1057</v>
      </c>
      <c r="C479" s="39" t="s">
        <v>934</v>
      </c>
      <c r="D479">
        <v>146</v>
      </c>
      <c r="E479" s="15" t="s">
        <v>920</v>
      </c>
      <c r="F479" s="42" t="s">
        <v>1244</v>
      </c>
      <c r="G479" s="12">
        <v>2.5520700000000001</v>
      </c>
      <c r="H479">
        <v>10</v>
      </c>
      <c r="I479" s="22" t="s">
        <v>1066</v>
      </c>
      <c r="J479" s="36">
        <v>1</v>
      </c>
      <c r="K479">
        <f t="shared" ref="K479" si="274">COUNTIF(F479:F481,"t")</f>
        <v>0</v>
      </c>
      <c r="L479">
        <f t="shared" ref="L479" si="275">K479-K470</f>
        <v>-1</v>
      </c>
    </row>
    <row r="480" spans="1:14" x14ac:dyDescent="0.25">
      <c r="A480" s="29" t="s">
        <v>935</v>
      </c>
      <c r="B480" s="18" t="s">
        <v>1057</v>
      </c>
      <c r="C480" s="39" t="s">
        <v>934</v>
      </c>
      <c r="D480">
        <v>146</v>
      </c>
      <c r="E480" s="15" t="s">
        <v>936</v>
      </c>
      <c r="F480" s="42" t="s">
        <v>1244</v>
      </c>
      <c r="G480" s="12">
        <v>1.5451509999999999</v>
      </c>
      <c r="H480">
        <v>9</v>
      </c>
      <c r="I480" s="22" t="s">
        <v>1066</v>
      </c>
      <c r="J480" s="36">
        <v>1</v>
      </c>
    </row>
    <row r="481" spans="1:14" x14ac:dyDescent="0.25">
      <c r="A481" s="30" t="s">
        <v>937</v>
      </c>
      <c r="B481" s="17" t="s">
        <v>1057</v>
      </c>
      <c r="C481" s="38" t="s">
        <v>934</v>
      </c>
      <c r="D481" s="9">
        <v>146</v>
      </c>
      <c r="E481" s="14" t="s">
        <v>920</v>
      </c>
      <c r="F481" s="41" t="s">
        <v>1244</v>
      </c>
      <c r="G481" s="11">
        <v>1.751247</v>
      </c>
      <c r="H481" s="9">
        <v>10</v>
      </c>
      <c r="I481" s="23" t="s">
        <v>1066</v>
      </c>
      <c r="J481" s="35">
        <v>1</v>
      </c>
      <c r="K481" s="9"/>
      <c r="L481" s="9"/>
      <c r="M481" s="9"/>
      <c r="N481" s="9"/>
    </row>
    <row r="482" spans="1:14" x14ac:dyDescent="0.25">
      <c r="A482" s="31" t="s">
        <v>938</v>
      </c>
      <c r="B482" s="19" t="s">
        <v>1058</v>
      </c>
      <c r="C482" s="40" t="s">
        <v>939</v>
      </c>
      <c r="D482" s="10">
        <v>132</v>
      </c>
      <c r="E482" s="16" t="s">
        <v>940</v>
      </c>
      <c r="F482" s="43" t="s">
        <v>1243</v>
      </c>
      <c r="G482" s="13">
        <v>4.2450479999999997</v>
      </c>
      <c r="H482" s="10">
        <v>9</v>
      </c>
      <c r="I482" s="24" t="s">
        <v>1240</v>
      </c>
      <c r="J482" s="37">
        <v>1</v>
      </c>
      <c r="K482">
        <f t="shared" ref="K482" si="276">COUNTIF(F482:F484,"t")</f>
        <v>3</v>
      </c>
      <c r="L482" s="10">
        <f t="shared" ref="L482" si="277">K482-K470</f>
        <v>2</v>
      </c>
      <c r="M482" s="10"/>
      <c r="N482" s="10"/>
    </row>
    <row r="483" spans="1:14" x14ac:dyDescent="0.25">
      <c r="A483" s="29" t="s">
        <v>941</v>
      </c>
      <c r="B483" s="18" t="s">
        <v>1058</v>
      </c>
      <c r="C483" s="39" t="s">
        <v>939</v>
      </c>
      <c r="D483">
        <v>132</v>
      </c>
      <c r="E483" s="15" t="s">
        <v>918</v>
      </c>
      <c r="F483" s="42" t="s">
        <v>1243</v>
      </c>
      <c r="G483" s="12">
        <v>1.909057</v>
      </c>
      <c r="H483">
        <v>10</v>
      </c>
      <c r="I483" s="22" t="s">
        <v>1240</v>
      </c>
      <c r="J483" s="36">
        <v>1</v>
      </c>
    </row>
    <row r="484" spans="1:14" x14ac:dyDescent="0.25">
      <c r="A484" s="30" t="s">
        <v>942</v>
      </c>
      <c r="B484" s="17" t="s">
        <v>1058</v>
      </c>
      <c r="C484" s="38" t="s">
        <v>939</v>
      </c>
      <c r="D484" s="9">
        <v>132</v>
      </c>
      <c r="E484" s="14" t="s">
        <v>918</v>
      </c>
      <c r="F484" s="41" t="s">
        <v>1243</v>
      </c>
      <c r="G484" s="11">
        <v>2.3605160000000001</v>
      </c>
      <c r="H484" s="9">
        <v>10</v>
      </c>
      <c r="I484" s="23" t="s">
        <v>1240</v>
      </c>
      <c r="J484" s="35">
        <v>1</v>
      </c>
      <c r="K484" s="9"/>
      <c r="L484" s="9"/>
      <c r="M484" s="9"/>
      <c r="N484" s="9"/>
    </row>
    <row r="485" spans="1:14" x14ac:dyDescent="0.25">
      <c r="A485" s="29" t="s">
        <v>943</v>
      </c>
      <c r="B485" s="18" t="s">
        <v>1059</v>
      </c>
      <c r="C485" s="39" t="s">
        <v>944</v>
      </c>
      <c r="D485">
        <v>132</v>
      </c>
      <c r="E485" s="15" t="s">
        <v>920</v>
      </c>
      <c r="F485" s="42" t="s">
        <v>1244</v>
      </c>
      <c r="G485" s="12">
        <v>4.1873950000000004</v>
      </c>
      <c r="H485">
        <v>10</v>
      </c>
      <c r="I485" s="22" t="s">
        <v>1240</v>
      </c>
      <c r="J485" s="36">
        <v>1</v>
      </c>
      <c r="K485">
        <f t="shared" ref="K485" si="278">COUNTIF(F485:F487,"t")</f>
        <v>1</v>
      </c>
      <c r="L485">
        <f t="shared" ref="L485" si="279">K485-K470</f>
        <v>0</v>
      </c>
    </row>
    <row r="486" spans="1:14" x14ac:dyDescent="0.25">
      <c r="A486" s="29" t="s">
        <v>945</v>
      </c>
      <c r="B486" s="18" t="s">
        <v>1059</v>
      </c>
      <c r="C486" s="39" t="s">
        <v>944</v>
      </c>
      <c r="D486">
        <v>132</v>
      </c>
      <c r="E486" s="15" t="s">
        <v>918</v>
      </c>
      <c r="F486" s="42" t="s">
        <v>1243</v>
      </c>
      <c r="G486" s="12">
        <v>1.5231380000000001</v>
      </c>
      <c r="H486">
        <v>10</v>
      </c>
      <c r="I486" s="22" t="s">
        <v>1240</v>
      </c>
      <c r="J486" s="36">
        <v>1</v>
      </c>
    </row>
    <row r="487" spans="1:14" s="9" customFormat="1" x14ac:dyDescent="0.25">
      <c r="A487" s="30" t="s">
        <v>946</v>
      </c>
      <c r="B487" s="17" t="s">
        <v>1059</v>
      </c>
      <c r="C487" s="38" t="s">
        <v>944</v>
      </c>
      <c r="D487" s="9">
        <v>132</v>
      </c>
      <c r="E487" s="14" t="s">
        <v>920</v>
      </c>
      <c r="F487" s="41" t="s">
        <v>1244</v>
      </c>
      <c r="G487" s="11">
        <v>1.72088</v>
      </c>
      <c r="H487" s="9">
        <v>10</v>
      </c>
      <c r="I487" s="23" t="s">
        <v>1240</v>
      </c>
      <c r="J487" s="35">
        <v>1</v>
      </c>
    </row>
    <row r="488" spans="1:14" x14ac:dyDescent="0.25">
      <c r="A488" s="25" t="s">
        <v>947</v>
      </c>
      <c r="B488" s="18" t="s">
        <v>1054</v>
      </c>
      <c r="C488" s="39" t="s">
        <v>948</v>
      </c>
      <c r="D488">
        <v>129</v>
      </c>
      <c r="E488" s="15" t="s">
        <v>956</v>
      </c>
      <c r="F488" s="42" t="s">
        <v>1244</v>
      </c>
      <c r="G488" s="12">
        <v>2.2090360000000002</v>
      </c>
      <c r="H488">
        <v>11</v>
      </c>
      <c r="K488">
        <f t="shared" ref="K488" si="280">COUNTIF(F488:F490,"t")</f>
        <v>0</v>
      </c>
    </row>
    <row r="489" spans="1:14" x14ac:dyDescent="0.25">
      <c r="A489" s="25" t="s">
        <v>950</v>
      </c>
      <c r="B489" s="18" t="s">
        <v>1054</v>
      </c>
      <c r="C489" s="39" t="s">
        <v>948</v>
      </c>
      <c r="D489">
        <v>129</v>
      </c>
      <c r="E489" s="15" t="s">
        <v>960</v>
      </c>
      <c r="F489" s="42" t="s">
        <v>1244</v>
      </c>
      <c r="G489" s="12">
        <v>1.783433</v>
      </c>
      <c r="H489">
        <v>12</v>
      </c>
    </row>
    <row r="490" spans="1:14" x14ac:dyDescent="0.25">
      <c r="A490" s="25" t="s">
        <v>952</v>
      </c>
      <c r="B490" s="18" t="s">
        <v>1054</v>
      </c>
      <c r="C490" s="39" t="s">
        <v>948</v>
      </c>
      <c r="D490">
        <v>129</v>
      </c>
      <c r="E490" s="15" t="s">
        <v>956</v>
      </c>
      <c r="F490" s="42" t="s">
        <v>1244</v>
      </c>
      <c r="G490" s="12">
        <v>1.7286699999999999</v>
      </c>
      <c r="H490">
        <v>11</v>
      </c>
    </row>
    <row r="491" spans="1:14" x14ac:dyDescent="0.25">
      <c r="A491" s="26" t="s">
        <v>953</v>
      </c>
      <c r="B491" s="18" t="s">
        <v>1055</v>
      </c>
      <c r="C491" s="39" t="s">
        <v>954</v>
      </c>
      <c r="D491">
        <v>155</v>
      </c>
      <c r="E491" s="15" t="s">
        <v>971</v>
      </c>
      <c r="F491" s="42" t="s">
        <v>1244</v>
      </c>
      <c r="G491" s="12">
        <v>1.5790040000000001</v>
      </c>
      <c r="H491">
        <v>6</v>
      </c>
      <c r="K491">
        <f t="shared" ref="K491" si="281">COUNTIF(F491:F493,"t")</f>
        <v>0</v>
      </c>
      <c r="L491">
        <f t="shared" ref="L491" si="282">K491-K488</f>
        <v>0</v>
      </c>
    </row>
    <row r="492" spans="1:14" x14ac:dyDescent="0.25">
      <c r="A492" s="26" t="s">
        <v>955</v>
      </c>
      <c r="B492" s="18" t="s">
        <v>1055</v>
      </c>
      <c r="C492" s="39" t="s">
        <v>954</v>
      </c>
      <c r="D492">
        <v>155</v>
      </c>
      <c r="E492" s="15" t="s">
        <v>960</v>
      </c>
      <c r="F492" s="42" t="s">
        <v>1244</v>
      </c>
      <c r="G492" s="12">
        <v>1.7527740000000001</v>
      </c>
      <c r="H492">
        <v>12</v>
      </c>
    </row>
    <row r="493" spans="1:14" x14ac:dyDescent="0.25">
      <c r="A493" s="26" t="s">
        <v>957</v>
      </c>
      <c r="B493" s="18" t="s">
        <v>1055</v>
      </c>
      <c r="C493" s="39" t="s">
        <v>954</v>
      </c>
      <c r="D493">
        <v>155</v>
      </c>
      <c r="E493" s="15" t="s">
        <v>1032</v>
      </c>
      <c r="F493" s="42" t="s">
        <v>1244</v>
      </c>
      <c r="G493" s="12">
        <v>1.9369510000000001</v>
      </c>
      <c r="H493">
        <v>12</v>
      </c>
    </row>
    <row r="494" spans="1:14" x14ac:dyDescent="0.25">
      <c r="A494" s="27" t="s">
        <v>958</v>
      </c>
      <c r="B494" s="18" t="s">
        <v>1056</v>
      </c>
      <c r="C494" s="39" t="s">
        <v>1033</v>
      </c>
      <c r="D494">
        <v>144</v>
      </c>
      <c r="E494" s="15" t="s">
        <v>960</v>
      </c>
      <c r="F494" s="42" t="s">
        <v>1244</v>
      </c>
      <c r="G494" s="12">
        <v>26.261769999999999</v>
      </c>
      <c r="H494">
        <v>12</v>
      </c>
      <c r="K494">
        <f t="shared" ref="K494" si="283">COUNTIF(F494:F496,"t")</f>
        <v>0</v>
      </c>
      <c r="L494">
        <f t="shared" ref="L494" si="284">K494-K488</f>
        <v>0</v>
      </c>
    </row>
    <row r="495" spans="1:14" x14ac:dyDescent="0.25">
      <c r="A495" s="27" t="s">
        <v>959</v>
      </c>
      <c r="B495" s="18" t="s">
        <v>1056</v>
      </c>
      <c r="C495" s="39" t="s">
        <v>1034</v>
      </c>
      <c r="D495">
        <v>151</v>
      </c>
      <c r="E495" s="15" t="s">
        <v>971</v>
      </c>
      <c r="F495" s="42" t="s">
        <v>1244</v>
      </c>
      <c r="G495" s="12">
        <v>27.440685999999999</v>
      </c>
      <c r="H495">
        <v>6</v>
      </c>
    </row>
    <row r="496" spans="1:14" x14ac:dyDescent="0.25">
      <c r="A496" s="28" t="s">
        <v>961</v>
      </c>
      <c r="B496" s="17" t="s">
        <v>1056</v>
      </c>
      <c r="C496" s="38" t="s">
        <v>1035</v>
      </c>
      <c r="D496" s="9">
        <v>155</v>
      </c>
      <c r="E496" s="14" t="s">
        <v>951</v>
      </c>
      <c r="F496" s="41" t="s">
        <v>1244</v>
      </c>
      <c r="G496" s="11">
        <v>28.472809999999999</v>
      </c>
      <c r="H496" s="9">
        <v>12</v>
      </c>
      <c r="I496" s="20"/>
      <c r="J496" s="35"/>
      <c r="K496" s="9"/>
      <c r="L496" s="9"/>
      <c r="M496" s="9"/>
      <c r="N496" s="9"/>
    </row>
    <row r="497" spans="1:14" x14ac:dyDescent="0.25">
      <c r="A497" s="29" t="s">
        <v>962</v>
      </c>
      <c r="B497" s="18" t="s">
        <v>1057</v>
      </c>
      <c r="C497" s="39" t="s">
        <v>1036</v>
      </c>
      <c r="D497">
        <v>140</v>
      </c>
      <c r="E497" s="15" t="s">
        <v>964</v>
      </c>
      <c r="F497" s="42" t="s">
        <v>1244</v>
      </c>
      <c r="G497" s="12">
        <v>2.51674</v>
      </c>
      <c r="H497">
        <v>13</v>
      </c>
      <c r="I497" s="22" t="s">
        <v>1239</v>
      </c>
      <c r="J497" s="36">
        <v>1</v>
      </c>
      <c r="K497">
        <f t="shared" ref="K497" si="285">COUNTIF(F497:F499,"t")</f>
        <v>0</v>
      </c>
      <c r="L497">
        <f t="shared" ref="L497" si="286">K497-K488</f>
        <v>0</v>
      </c>
    </row>
    <row r="498" spans="1:14" x14ac:dyDescent="0.25">
      <c r="A498" s="29" t="s">
        <v>963</v>
      </c>
      <c r="B498" s="18" t="s">
        <v>1057</v>
      </c>
      <c r="C498" s="39" t="s">
        <v>1036</v>
      </c>
      <c r="D498">
        <v>140</v>
      </c>
      <c r="E498" s="15" t="s">
        <v>949</v>
      </c>
      <c r="F498" s="42" t="s">
        <v>1244</v>
      </c>
      <c r="G498" s="12">
        <v>1.59554</v>
      </c>
      <c r="H498">
        <v>11</v>
      </c>
      <c r="I498" s="22" t="s">
        <v>1239</v>
      </c>
      <c r="J498" s="36">
        <v>1</v>
      </c>
    </row>
    <row r="499" spans="1:14" x14ac:dyDescent="0.25">
      <c r="A499" s="30" t="s">
        <v>965</v>
      </c>
      <c r="B499" s="17" t="s">
        <v>1057</v>
      </c>
      <c r="C499" s="38" t="s">
        <v>1036</v>
      </c>
      <c r="D499" s="9">
        <v>140</v>
      </c>
      <c r="E499" s="14" t="s">
        <v>956</v>
      </c>
      <c r="F499" s="41" t="s">
        <v>1244</v>
      </c>
      <c r="G499" s="11">
        <v>1.710469</v>
      </c>
      <c r="H499" s="9">
        <v>11</v>
      </c>
      <c r="I499" s="23" t="s">
        <v>1239</v>
      </c>
      <c r="J499" s="35">
        <v>1</v>
      </c>
      <c r="K499" s="9"/>
      <c r="L499" s="9"/>
      <c r="M499" s="9"/>
      <c r="N499" s="9"/>
    </row>
    <row r="500" spans="1:14" x14ac:dyDescent="0.25">
      <c r="A500" s="31" t="s">
        <v>966</v>
      </c>
      <c r="B500" s="19" t="s">
        <v>1058</v>
      </c>
      <c r="C500" s="40" t="s">
        <v>1037</v>
      </c>
      <c r="D500" s="10">
        <v>142</v>
      </c>
      <c r="E500" s="16" t="s">
        <v>956</v>
      </c>
      <c r="F500" s="43" t="s">
        <v>1244</v>
      </c>
      <c r="G500" s="13">
        <v>4.0167710000000003</v>
      </c>
      <c r="H500" s="10">
        <v>11</v>
      </c>
      <c r="I500" s="24" t="s">
        <v>1242</v>
      </c>
      <c r="J500" s="37">
        <v>2</v>
      </c>
      <c r="K500">
        <f t="shared" ref="K500" si="287">COUNTIF(F500:F502,"t")</f>
        <v>0</v>
      </c>
      <c r="L500" s="10">
        <f t="shared" ref="L500" si="288">K500-K488</f>
        <v>0</v>
      </c>
      <c r="M500" s="10"/>
      <c r="N500" s="10"/>
    </row>
    <row r="501" spans="1:14" x14ac:dyDescent="0.25">
      <c r="A501" s="29" t="s">
        <v>967</v>
      </c>
      <c r="B501" s="18" t="s">
        <v>1058</v>
      </c>
      <c r="C501" s="39" t="s">
        <v>1037</v>
      </c>
      <c r="D501">
        <v>142</v>
      </c>
      <c r="E501" s="15" t="s">
        <v>1038</v>
      </c>
      <c r="F501" s="42" t="s">
        <v>1244</v>
      </c>
      <c r="G501" s="12">
        <v>3.6740689999999998</v>
      </c>
      <c r="H501">
        <v>24</v>
      </c>
      <c r="I501" s="22" t="s">
        <v>1242</v>
      </c>
      <c r="J501" s="36">
        <v>2</v>
      </c>
    </row>
    <row r="502" spans="1:14" x14ac:dyDescent="0.25">
      <c r="A502" s="30" t="s">
        <v>968</v>
      </c>
      <c r="B502" s="17" t="s">
        <v>1058</v>
      </c>
      <c r="C502" s="38" t="s">
        <v>1037</v>
      </c>
      <c r="D502" s="9">
        <v>142</v>
      </c>
      <c r="E502" s="14" t="s">
        <v>949</v>
      </c>
      <c r="F502" s="41" t="s">
        <v>1244</v>
      </c>
      <c r="G502" s="11">
        <v>1.89636</v>
      </c>
      <c r="H502" s="9">
        <v>11</v>
      </c>
      <c r="I502" s="23" t="s">
        <v>1242</v>
      </c>
      <c r="J502" s="35">
        <v>2</v>
      </c>
      <c r="K502" s="9"/>
      <c r="L502" s="9"/>
      <c r="M502" s="9"/>
      <c r="N502" s="9"/>
    </row>
    <row r="503" spans="1:14" x14ac:dyDescent="0.25">
      <c r="A503" s="29" t="s">
        <v>969</v>
      </c>
      <c r="B503" s="18" t="s">
        <v>1059</v>
      </c>
      <c r="C503" s="39" t="s">
        <v>1039</v>
      </c>
      <c r="D503">
        <v>161</v>
      </c>
      <c r="E503" s="15" t="s">
        <v>971</v>
      </c>
      <c r="F503" s="42" t="s">
        <v>1244</v>
      </c>
      <c r="G503" s="12">
        <v>1.4444980000000001</v>
      </c>
      <c r="H503">
        <v>6</v>
      </c>
      <c r="I503" s="22" t="s">
        <v>1242</v>
      </c>
      <c r="J503" s="36">
        <v>2</v>
      </c>
      <c r="K503">
        <f t="shared" ref="K503" si="289">COUNTIF(F503:F505,"t")</f>
        <v>0</v>
      </c>
      <c r="L503">
        <f t="shared" ref="L503" si="290">K503-K488</f>
        <v>0</v>
      </c>
    </row>
    <row r="504" spans="1:14" x14ac:dyDescent="0.25">
      <c r="A504" s="29" t="s">
        <v>970</v>
      </c>
      <c r="B504" s="18" t="s">
        <v>1059</v>
      </c>
      <c r="C504" s="39" t="s">
        <v>1039</v>
      </c>
      <c r="D504">
        <v>161</v>
      </c>
      <c r="E504" s="15" t="s">
        <v>1040</v>
      </c>
      <c r="F504" s="42" t="s">
        <v>1244</v>
      </c>
      <c r="G504" s="12">
        <v>1.4356949999999999</v>
      </c>
      <c r="H504">
        <v>10</v>
      </c>
      <c r="I504" s="22" t="s">
        <v>1242</v>
      </c>
      <c r="J504" s="36">
        <v>2</v>
      </c>
    </row>
    <row r="505" spans="1:14" s="9" customFormat="1" x14ac:dyDescent="0.25">
      <c r="A505" s="30" t="s">
        <v>972</v>
      </c>
      <c r="B505" s="17" t="s">
        <v>1059</v>
      </c>
      <c r="C505" s="38" t="s">
        <v>1039</v>
      </c>
      <c r="D505" s="9">
        <v>161</v>
      </c>
      <c r="E505" s="14" t="s">
        <v>949</v>
      </c>
      <c r="F505" s="41" t="s">
        <v>1244</v>
      </c>
      <c r="G505" s="11">
        <v>1.6357109999999999</v>
      </c>
      <c r="H505" s="9">
        <v>11</v>
      </c>
      <c r="I505" s="23" t="s">
        <v>1242</v>
      </c>
      <c r="J505" s="35">
        <v>2</v>
      </c>
    </row>
    <row r="506" spans="1:14" x14ac:dyDescent="0.25">
      <c r="A506" s="25" t="s">
        <v>973</v>
      </c>
      <c r="B506" s="18" t="s">
        <v>1054</v>
      </c>
      <c r="C506" s="39" t="s">
        <v>974</v>
      </c>
      <c r="D506">
        <v>86</v>
      </c>
      <c r="E506" s="15" t="s">
        <v>1041</v>
      </c>
      <c r="F506" s="42" t="s">
        <v>1244</v>
      </c>
      <c r="G506" s="12">
        <v>1.7308380000000001</v>
      </c>
      <c r="H506">
        <v>8</v>
      </c>
      <c r="K506">
        <f t="shared" ref="K506" si="291">COUNTIF(F506:F508,"t")</f>
        <v>1</v>
      </c>
    </row>
    <row r="507" spans="1:14" x14ac:dyDescent="0.25">
      <c r="A507" s="25" t="s">
        <v>976</v>
      </c>
      <c r="B507" s="18" t="s">
        <v>1054</v>
      </c>
      <c r="C507" s="39" t="s">
        <v>974</v>
      </c>
      <c r="D507">
        <v>86</v>
      </c>
      <c r="E507" s="15" t="s">
        <v>1041</v>
      </c>
      <c r="F507" s="42" t="s">
        <v>1244</v>
      </c>
      <c r="G507" s="12">
        <v>1.0620430000000001</v>
      </c>
      <c r="H507">
        <v>8</v>
      </c>
    </row>
    <row r="508" spans="1:14" x14ac:dyDescent="0.25">
      <c r="A508" s="25" t="s">
        <v>978</v>
      </c>
      <c r="B508" s="18" t="s">
        <v>1054</v>
      </c>
      <c r="C508" s="39" t="s">
        <v>974</v>
      </c>
      <c r="D508">
        <v>86</v>
      </c>
      <c r="E508" s="15" t="s">
        <v>977</v>
      </c>
      <c r="F508" s="42" t="s">
        <v>1243</v>
      </c>
      <c r="G508" s="12">
        <v>0.97772499999999996</v>
      </c>
      <c r="H508">
        <v>7</v>
      </c>
    </row>
    <row r="509" spans="1:14" x14ac:dyDescent="0.25">
      <c r="A509" s="26" t="s">
        <v>979</v>
      </c>
      <c r="B509" s="18" t="s">
        <v>1055</v>
      </c>
      <c r="C509" s="39" t="s">
        <v>980</v>
      </c>
      <c r="D509">
        <v>118</v>
      </c>
      <c r="E509" s="15" t="s">
        <v>984</v>
      </c>
      <c r="F509" s="42" t="s">
        <v>1243</v>
      </c>
      <c r="G509" s="12">
        <v>1.9154819999999999</v>
      </c>
      <c r="H509">
        <v>9</v>
      </c>
      <c r="K509">
        <f t="shared" ref="K509" si="292">COUNTIF(F509:F511,"t")</f>
        <v>2</v>
      </c>
      <c r="L509">
        <f t="shared" ref="L509" si="293">K509-K506</f>
        <v>1</v>
      </c>
    </row>
    <row r="510" spans="1:14" x14ac:dyDescent="0.25">
      <c r="A510" s="26" t="s">
        <v>982</v>
      </c>
      <c r="B510" s="18" t="s">
        <v>1055</v>
      </c>
      <c r="C510" s="39" t="s">
        <v>980</v>
      </c>
      <c r="D510">
        <v>118</v>
      </c>
      <c r="E510" s="15" t="s">
        <v>981</v>
      </c>
      <c r="F510" s="42" t="s">
        <v>1244</v>
      </c>
      <c r="G510" s="12">
        <v>0.92177399999999998</v>
      </c>
      <c r="H510">
        <v>7</v>
      </c>
    </row>
    <row r="511" spans="1:14" x14ac:dyDescent="0.25">
      <c r="A511" s="26" t="s">
        <v>983</v>
      </c>
      <c r="B511" s="18" t="s">
        <v>1055</v>
      </c>
      <c r="C511" s="39" t="s">
        <v>980</v>
      </c>
      <c r="D511">
        <v>118</v>
      </c>
      <c r="E511" s="15" t="s">
        <v>1042</v>
      </c>
      <c r="F511" s="42" t="s">
        <v>1243</v>
      </c>
      <c r="G511" s="12">
        <v>1.458796</v>
      </c>
      <c r="H511">
        <v>10</v>
      </c>
    </row>
    <row r="512" spans="1:14" x14ac:dyDescent="0.25">
      <c r="A512" s="27" t="s">
        <v>985</v>
      </c>
      <c r="B512" s="18" t="s">
        <v>1056</v>
      </c>
      <c r="C512" s="39" t="s">
        <v>1043</v>
      </c>
      <c r="D512">
        <v>100</v>
      </c>
      <c r="E512" s="15" t="s">
        <v>1044</v>
      </c>
      <c r="F512" s="42" t="s">
        <v>1244</v>
      </c>
      <c r="G512" s="12">
        <v>20.797355</v>
      </c>
      <c r="H512">
        <v>34</v>
      </c>
      <c r="K512">
        <f t="shared" ref="K512" si="294">COUNTIF(F512:F514,"t")</f>
        <v>1</v>
      </c>
      <c r="L512">
        <f t="shared" ref="L512" si="295">K512-K506</f>
        <v>0</v>
      </c>
    </row>
    <row r="513" spans="1:14" x14ac:dyDescent="0.25">
      <c r="A513" s="27" t="s">
        <v>986</v>
      </c>
      <c r="B513" s="18" t="s">
        <v>1056</v>
      </c>
      <c r="C513" s="39" t="s">
        <v>1045</v>
      </c>
      <c r="D513">
        <v>121</v>
      </c>
      <c r="E513" s="15" t="s">
        <v>977</v>
      </c>
      <c r="F513" s="42" t="s">
        <v>1243</v>
      </c>
      <c r="G513" s="12">
        <v>19.613681</v>
      </c>
      <c r="H513">
        <v>7</v>
      </c>
    </row>
    <row r="514" spans="1:14" x14ac:dyDescent="0.25">
      <c r="A514" s="28" t="s">
        <v>987</v>
      </c>
      <c r="B514" s="17" t="s">
        <v>1056</v>
      </c>
      <c r="C514" s="38" t="s">
        <v>1046</v>
      </c>
      <c r="D514" s="9">
        <v>100</v>
      </c>
      <c r="E514" s="14" t="s">
        <v>1047</v>
      </c>
      <c r="F514" s="41" t="s">
        <v>1244</v>
      </c>
      <c r="G514" s="11">
        <v>17.726693999999998</v>
      </c>
      <c r="H514" s="9">
        <v>10</v>
      </c>
      <c r="I514" s="20"/>
      <c r="J514" s="35"/>
      <c r="K514" s="9"/>
      <c r="L514" s="9"/>
      <c r="M514" s="9"/>
      <c r="N514" s="9"/>
    </row>
    <row r="515" spans="1:14" x14ac:dyDescent="0.25">
      <c r="A515" s="29" t="s">
        <v>988</v>
      </c>
      <c r="B515" s="18" t="s">
        <v>1057</v>
      </c>
      <c r="C515" s="39" t="s">
        <v>1048</v>
      </c>
      <c r="D515">
        <v>102</v>
      </c>
      <c r="E515" s="15" t="s">
        <v>1041</v>
      </c>
      <c r="F515" s="42" t="s">
        <v>1244</v>
      </c>
      <c r="G515" s="12">
        <v>1.7550950000000001</v>
      </c>
      <c r="H515">
        <v>8</v>
      </c>
      <c r="I515" s="22" t="s">
        <v>1066</v>
      </c>
      <c r="J515" s="36">
        <v>2</v>
      </c>
      <c r="K515">
        <f t="shared" ref="K515" si="296">COUNTIF(F515:F517,"t")</f>
        <v>0</v>
      </c>
      <c r="L515">
        <f t="shared" ref="L515" si="297">K515-K506</f>
        <v>-1</v>
      </c>
    </row>
    <row r="516" spans="1:14" x14ac:dyDescent="0.25">
      <c r="A516" s="29" t="s">
        <v>989</v>
      </c>
      <c r="B516" s="18" t="s">
        <v>1057</v>
      </c>
      <c r="C516" s="39" t="s">
        <v>1048</v>
      </c>
      <c r="D516">
        <v>102</v>
      </c>
      <c r="E516" s="15" t="s">
        <v>1041</v>
      </c>
      <c r="F516" s="42" t="s">
        <v>1244</v>
      </c>
      <c r="G516" s="12">
        <v>1.1748689999999999</v>
      </c>
      <c r="H516">
        <v>8</v>
      </c>
      <c r="I516" s="22" t="s">
        <v>1066</v>
      </c>
      <c r="J516" s="36">
        <v>2</v>
      </c>
    </row>
    <row r="517" spans="1:14" x14ac:dyDescent="0.25">
      <c r="A517" s="30" t="s">
        <v>990</v>
      </c>
      <c r="B517" s="17" t="s">
        <v>1057</v>
      </c>
      <c r="C517" s="38" t="s">
        <v>1048</v>
      </c>
      <c r="D517" s="9">
        <v>102</v>
      </c>
      <c r="E517" s="14" t="s">
        <v>1041</v>
      </c>
      <c r="F517" s="41" t="s">
        <v>1244</v>
      </c>
      <c r="G517" s="11">
        <v>1.1999660000000001</v>
      </c>
      <c r="H517" s="9">
        <v>8</v>
      </c>
      <c r="I517" s="23" t="s">
        <v>1066</v>
      </c>
      <c r="J517" s="35">
        <v>2</v>
      </c>
      <c r="K517" s="9"/>
      <c r="L517" s="9"/>
      <c r="M517" s="9"/>
      <c r="N517" s="9"/>
    </row>
    <row r="518" spans="1:14" x14ac:dyDescent="0.25">
      <c r="A518" s="31" t="s">
        <v>991</v>
      </c>
      <c r="B518" s="19" t="s">
        <v>1058</v>
      </c>
      <c r="C518" s="40" t="s">
        <v>1049</v>
      </c>
      <c r="D518" s="10">
        <v>99</v>
      </c>
      <c r="E518" s="16" t="s">
        <v>977</v>
      </c>
      <c r="F518" s="43" t="s">
        <v>1243</v>
      </c>
      <c r="G518" s="13">
        <v>3.3625720000000001</v>
      </c>
      <c r="H518" s="10">
        <v>7</v>
      </c>
      <c r="I518" s="24" t="s">
        <v>1066</v>
      </c>
      <c r="J518" s="37">
        <v>1</v>
      </c>
      <c r="K518">
        <f t="shared" ref="K518" si="298">COUNTIF(F518:F520,"t")</f>
        <v>3</v>
      </c>
      <c r="L518" s="10">
        <f t="shared" ref="L518" si="299">K518-K506</f>
        <v>2</v>
      </c>
      <c r="M518" s="10"/>
      <c r="N518" s="10"/>
    </row>
    <row r="519" spans="1:14" x14ac:dyDescent="0.25">
      <c r="A519" s="29" t="s">
        <v>992</v>
      </c>
      <c r="B519" s="18" t="s">
        <v>1058</v>
      </c>
      <c r="C519" s="39" t="s">
        <v>1049</v>
      </c>
      <c r="D519">
        <v>99</v>
      </c>
      <c r="E519" s="15" t="s">
        <v>977</v>
      </c>
      <c r="F519" s="42" t="s">
        <v>1243</v>
      </c>
      <c r="G519" s="12">
        <v>1.3589530000000001</v>
      </c>
      <c r="H519">
        <v>7</v>
      </c>
      <c r="I519" s="22" t="s">
        <v>1066</v>
      </c>
      <c r="J519" s="36">
        <v>1</v>
      </c>
    </row>
    <row r="520" spans="1:14" x14ac:dyDescent="0.25">
      <c r="A520" s="30" t="s">
        <v>993</v>
      </c>
      <c r="B520" s="17" t="s">
        <v>1058</v>
      </c>
      <c r="C520" s="38" t="s">
        <v>1049</v>
      </c>
      <c r="D520" s="9">
        <v>99</v>
      </c>
      <c r="E520" s="14" t="s">
        <v>977</v>
      </c>
      <c r="F520" s="41" t="s">
        <v>1243</v>
      </c>
      <c r="G520" s="11">
        <v>0.98827600000000004</v>
      </c>
      <c r="H520" s="9">
        <v>7</v>
      </c>
      <c r="I520" s="23" t="s">
        <v>1066</v>
      </c>
      <c r="J520" s="35">
        <v>1</v>
      </c>
      <c r="K520" s="9"/>
      <c r="L520" s="9"/>
      <c r="M520" s="9"/>
      <c r="N520" s="9"/>
    </row>
    <row r="521" spans="1:14" x14ac:dyDescent="0.25">
      <c r="A521" s="29" t="s">
        <v>994</v>
      </c>
      <c r="B521" s="18" t="s">
        <v>1059</v>
      </c>
      <c r="C521" s="39" t="s">
        <v>1050</v>
      </c>
      <c r="D521">
        <v>112</v>
      </c>
      <c r="E521" s="15" t="s">
        <v>1051</v>
      </c>
      <c r="F521" s="42" t="s">
        <v>1243</v>
      </c>
      <c r="G521" s="12">
        <v>18.153728999999998</v>
      </c>
      <c r="H521">
        <v>94</v>
      </c>
      <c r="I521" s="22" t="s">
        <v>1239</v>
      </c>
      <c r="J521" s="36">
        <v>1</v>
      </c>
      <c r="K521">
        <f t="shared" ref="K521" si="300">COUNTIF(F521:F523,"t")</f>
        <v>1</v>
      </c>
      <c r="L521">
        <f t="shared" ref="L521" si="301">K521-K506</f>
        <v>0</v>
      </c>
    </row>
    <row r="522" spans="1:14" x14ac:dyDescent="0.25">
      <c r="A522" s="29" t="s">
        <v>995</v>
      </c>
      <c r="B522" s="18" t="s">
        <v>1059</v>
      </c>
      <c r="C522" s="39" t="s">
        <v>1050</v>
      </c>
      <c r="D522">
        <v>112</v>
      </c>
      <c r="E522" s="15" t="s">
        <v>1052</v>
      </c>
      <c r="F522" s="42" t="s">
        <v>1244</v>
      </c>
      <c r="G522" s="12">
        <v>15.195159</v>
      </c>
      <c r="H522">
        <v>80</v>
      </c>
      <c r="I522" s="22" t="s">
        <v>1239</v>
      </c>
      <c r="J522" s="36">
        <v>1</v>
      </c>
    </row>
    <row r="523" spans="1:14" s="9" customFormat="1" x14ac:dyDescent="0.25">
      <c r="A523" s="30" t="s">
        <v>996</v>
      </c>
      <c r="B523" s="17" t="s">
        <v>1059</v>
      </c>
      <c r="C523" s="38" t="s">
        <v>1050</v>
      </c>
      <c r="D523" s="9">
        <v>112</v>
      </c>
      <c r="E523" s="14" t="s">
        <v>975</v>
      </c>
      <c r="F523" s="41" t="s">
        <v>1244</v>
      </c>
      <c r="G523" s="11">
        <v>1.2371129999999999</v>
      </c>
      <c r="H523" s="9">
        <v>7</v>
      </c>
      <c r="I523" s="23" t="s">
        <v>1239</v>
      </c>
      <c r="J523" s="35">
        <v>1</v>
      </c>
    </row>
    <row r="524" spans="1:14" x14ac:dyDescent="0.25">
      <c r="A524" s="25" t="s">
        <v>997</v>
      </c>
      <c r="B524" s="18" t="s">
        <v>1054</v>
      </c>
      <c r="C524" s="39" t="s">
        <v>998</v>
      </c>
      <c r="D524">
        <v>88</v>
      </c>
      <c r="E524" s="15" t="s">
        <v>999</v>
      </c>
      <c r="F524" s="42" t="s">
        <v>1243</v>
      </c>
      <c r="G524" s="12">
        <v>13.336353000000001</v>
      </c>
      <c r="H524">
        <v>66</v>
      </c>
      <c r="K524">
        <f t="shared" ref="K524" si="302">COUNTIF(F524:F526,"t")</f>
        <v>2</v>
      </c>
    </row>
    <row r="525" spans="1:14" x14ac:dyDescent="0.25">
      <c r="A525" s="25" t="s">
        <v>1000</v>
      </c>
      <c r="B525" s="18" t="s">
        <v>1054</v>
      </c>
      <c r="C525" s="39" t="s">
        <v>998</v>
      </c>
      <c r="D525">
        <v>88</v>
      </c>
      <c r="E525" s="15" t="s">
        <v>1001</v>
      </c>
      <c r="F525" s="42" t="s">
        <v>1243</v>
      </c>
      <c r="G525" s="12">
        <v>7.3860869999999998</v>
      </c>
      <c r="H525">
        <v>37</v>
      </c>
    </row>
    <row r="526" spans="1:14" x14ac:dyDescent="0.25">
      <c r="A526" s="25" t="s">
        <v>1002</v>
      </c>
      <c r="B526" s="18" t="s">
        <v>1054</v>
      </c>
      <c r="C526" s="39" t="s">
        <v>998</v>
      </c>
      <c r="D526">
        <v>88</v>
      </c>
      <c r="E526" s="15" t="s">
        <v>1003</v>
      </c>
      <c r="F526" s="42" t="s">
        <v>1244</v>
      </c>
      <c r="G526" s="12">
        <v>2.1264880000000002</v>
      </c>
      <c r="H526">
        <v>11</v>
      </c>
    </row>
    <row r="527" spans="1:14" x14ac:dyDescent="0.25">
      <c r="A527" s="26" t="s">
        <v>1004</v>
      </c>
      <c r="B527" s="18" t="s">
        <v>1055</v>
      </c>
      <c r="C527" s="39" t="s">
        <v>1005</v>
      </c>
      <c r="D527">
        <v>105</v>
      </c>
      <c r="E527" s="15" t="s">
        <v>1006</v>
      </c>
      <c r="F527" s="42" t="s">
        <v>1243</v>
      </c>
      <c r="G527" s="12">
        <v>10.552903000000001</v>
      </c>
      <c r="H527">
        <v>52</v>
      </c>
      <c r="K527">
        <f t="shared" ref="K527" si="303">COUNTIF(F527:F529,"t")</f>
        <v>3</v>
      </c>
      <c r="L527">
        <f t="shared" ref="L527" si="304">K527-K524</f>
        <v>1</v>
      </c>
    </row>
    <row r="528" spans="1:14" x14ac:dyDescent="0.25">
      <c r="A528" s="26" t="s">
        <v>1007</v>
      </c>
      <c r="B528" s="18" t="s">
        <v>1055</v>
      </c>
      <c r="C528" s="39" t="s">
        <v>1005</v>
      </c>
      <c r="D528">
        <v>105</v>
      </c>
      <c r="E528" s="15" t="s">
        <v>1008</v>
      </c>
      <c r="F528" s="42" t="s">
        <v>1243</v>
      </c>
      <c r="G528" s="12">
        <v>7.3633569999999997</v>
      </c>
      <c r="H528">
        <v>34</v>
      </c>
    </row>
    <row r="529" spans="1:20" x14ac:dyDescent="0.25">
      <c r="A529" s="26" t="s">
        <v>1009</v>
      </c>
      <c r="B529" s="18" t="s">
        <v>1055</v>
      </c>
      <c r="C529" s="39" t="s">
        <v>1005</v>
      </c>
      <c r="D529">
        <v>105</v>
      </c>
      <c r="E529" s="15">
        <v>10</v>
      </c>
      <c r="F529" s="42" t="s">
        <v>1243</v>
      </c>
      <c r="G529" s="12">
        <v>0.73768299999999998</v>
      </c>
      <c r="H529">
        <v>4</v>
      </c>
    </row>
    <row r="530" spans="1:20" x14ac:dyDescent="0.25">
      <c r="A530" s="27" t="s">
        <v>1010</v>
      </c>
      <c r="B530" s="18" t="s">
        <v>1056</v>
      </c>
      <c r="C530" s="39" t="s">
        <v>1011</v>
      </c>
      <c r="D530">
        <v>106</v>
      </c>
      <c r="E530" s="15">
        <v>10</v>
      </c>
      <c r="F530" s="42" t="s">
        <v>1243</v>
      </c>
      <c r="G530" s="12">
        <v>19.580255000000001</v>
      </c>
      <c r="H530">
        <v>4</v>
      </c>
      <c r="K530">
        <f t="shared" ref="K530" si="305">COUNTIF(F530:F532,"t")</f>
        <v>3</v>
      </c>
      <c r="L530">
        <f t="shared" ref="L530" si="306">K530-K524</f>
        <v>1</v>
      </c>
    </row>
    <row r="531" spans="1:20" x14ac:dyDescent="0.25">
      <c r="A531" s="27" t="s">
        <v>1012</v>
      </c>
      <c r="B531" s="18" t="s">
        <v>1056</v>
      </c>
      <c r="C531" s="39" t="s">
        <v>1011</v>
      </c>
      <c r="D531">
        <v>106</v>
      </c>
      <c r="E531" s="15">
        <v>10</v>
      </c>
      <c r="F531" s="42" t="s">
        <v>1243</v>
      </c>
      <c r="G531" s="12">
        <v>18.508274</v>
      </c>
      <c r="H531">
        <v>4</v>
      </c>
    </row>
    <row r="532" spans="1:20" x14ac:dyDescent="0.25">
      <c r="A532" s="28" t="s">
        <v>1013</v>
      </c>
      <c r="B532" s="17" t="s">
        <v>1056</v>
      </c>
      <c r="C532" s="38" t="s">
        <v>1011</v>
      </c>
      <c r="D532" s="9">
        <v>106</v>
      </c>
      <c r="E532" s="14" t="s">
        <v>1014</v>
      </c>
      <c r="F532" s="41" t="s">
        <v>1243</v>
      </c>
      <c r="G532" s="11">
        <v>20.339953000000001</v>
      </c>
      <c r="H532" s="9">
        <v>10</v>
      </c>
      <c r="I532" s="20"/>
      <c r="J532" s="35"/>
      <c r="K532" s="9"/>
      <c r="L532" s="9"/>
      <c r="M532" s="9"/>
      <c r="N532" s="9"/>
    </row>
    <row r="533" spans="1:20" x14ac:dyDescent="0.25">
      <c r="A533" s="29" t="s">
        <v>1015</v>
      </c>
      <c r="B533" s="18" t="s">
        <v>1057</v>
      </c>
      <c r="C533" s="39" t="s">
        <v>1016</v>
      </c>
      <c r="D533">
        <v>104</v>
      </c>
      <c r="E533" s="15" t="s">
        <v>1017</v>
      </c>
      <c r="F533" s="42" t="s">
        <v>1244</v>
      </c>
      <c r="G533" s="12">
        <v>7.2368790000000001</v>
      </c>
      <c r="H533">
        <v>37</v>
      </c>
      <c r="I533" s="22" t="s">
        <v>1240</v>
      </c>
      <c r="J533" s="36">
        <v>1</v>
      </c>
      <c r="K533">
        <f t="shared" ref="K533" si="307">COUNTIF(F533:F535,"t")</f>
        <v>2</v>
      </c>
      <c r="L533">
        <f t="shared" ref="L533" si="308">K533-K524</f>
        <v>0</v>
      </c>
    </row>
    <row r="534" spans="1:20" x14ac:dyDescent="0.25">
      <c r="A534" s="29" t="s">
        <v>1018</v>
      </c>
      <c r="B534" s="18" t="s">
        <v>1057</v>
      </c>
      <c r="C534" s="39" t="s">
        <v>1016</v>
      </c>
      <c r="D534">
        <v>104</v>
      </c>
      <c r="E534" s="15" t="s">
        <v>1014</v>
      </c>
      <c r="F534" s="42" t="s">
        <v>1243</v>
      </c>
      <c r="G534" s="12">
        <v>1.953975</v>
      </c>
      <c r="H534">
        <v>10</v>
      </c>
      <c r="I534" s="22" t="s">
        <v>1240</v>
      </c>
      <c r="J534" s="36">
        <v>1</v>
      </c>
    </row>
    <row r="535" spans="1:20" x14ac:dyDescent="0.25">
      <c r="A535" s="30" t="s">
        <v>1019</v>
      </c>
      <c r="B535" s="17" t="s">
        <v>1057</v>
      </c>
      <c r="C535" s="38" t="s">
        <v>1016</v>
      </c>
      <c r="D535" s="9">
        <v>104</v>
      </c>
      <c r="E535" s="14" t="s">
        <v>1020</v>
      </c>
      <c r="F535" s="41" t="s">
        <v>1243</v>
      </c>
      <c r="G535" s="11">
        <v>2.1867420000000002</v>
      </c>
      <c r="H535" s="9">
        <v>10</v>
      </c>
      <c r="I535" s="23" t="s">
        <v>1240</v>
      </c>
      <c r="J535" s="35">
        <v>1</v>
      </c>
      <c r="K535" s="9"/>
      <c r="L535" s="9"/>
      <c r="M535" s="9"/>
      <c r="N535" s="9"/>
    </row>
    <row r="536" spans="1:20" x14ac:dyDescent="0.25">
      <c r="A536" s="31" t="s">
        <v>1021</v>
      </c>
      <c r="B536" s="19" t="s">
        <v>1058</v>
      </c>
      <c r="C536" s="40" t="s">
        <v>1022</v>
      </c>
      <c r="D536" s="10">
        <v>100</v>
      </c>
      <c r="E536" s="16" t="s">
        <v>1023</v>
      </c>
      <c r="F536" s="43" t="s">
        <v>1244</v>
      </c>
      <c r="G536" s="13">
        <v>10.203670000000001</v>
      </c>
      <c r="H536" s="10">
        <v>44</v>
      </c>
      <c r="I536" s="24" t="s">
        <v>1064</v>
      </c>
      <c r="J536" s="37">
        <v>2</v>
      </c>
      <c r="K536">
        <f t="shared" ref="K536" si="309">COUNTIF(F536:F538,"t")</f>
        <v>0</v>
      </c>
      <c r="L536" s="10">
        <f t="shared" ref="L536" si="310">K536-K524</f>
        <v>-2</v>
      </c>
      <c r="M536" s="10"/>
      <c r="N536" s="10"/>
    </row>
    <row r="537" spans="1:20" x14ac:dyDescent="0.25">
      <c r="A537" s="29" t="s">
        <v>1024</v>
      </c>
      <c r="B537" s="18" t="s">
        <v>1058</v>
      </c>
      <c r="C537" s="39" t="s">
        <v>1022</v>
      </c>
      <c r="D537">
        <v>100</v>
      </c>
      <c r="E537" s="15" t="s">
        <v>1025</v>
      </c>
      <c r="F537" s="42" t="s">
        <v>1244</v>
      </c>
      <c r="G537" s="12">
        <v>5.3660889999999997</v>
      </c>
      <c r="H537">
        <v>25</v>
      </c>
      <c r="I537" s="22" t="s">
        <v>1064</v>
      </c>
      <c r="J537" s="36">
        <v>2</v>
      </c>
    </row>
    <row r="538" spans="1:20" x14ac:dyDescent="0.25">
      <c r="A538" s="30" t="s">
        <v>1026</v>
      </c>
      <c r="B538" s="17" t="s">
        <v>1058</v>
      </c>
      <c r="C538" s="38" t="s">
        <v>1022</v>
      </c>
      <c r="D538" s="9">
        <v>100</v>
      </c>
      <c r="E538" s="14" t="s">
        <v>1027</v>
      </c>
      <c r="F538" s="41" t="s">
        <v>1244</v>
      </c>
      <c r="G538" s="11">
        <v>7.9330569999999998</v>
      </c>
      <c r="H538" s="9">
        <v>40</v>
      </c>
      <c r="I538" s="23" t="s">
        <v>1064</v>
      </c>
      <c r="J538" s="35">
        <v>2</v>
      </c>
      <c r="K538" s="9"/>
      <c r="L538" s="9"/>
      <c r="M538" s="9"/>
      <c r="N538" s="9"/>
    </row>
    <row r="539" spans="1:20" x14ac:dyDescent="0.25">
      <c r="A539" s="29" t="s">
        <v>1028</v>
      </c>
      <c r="B539" s="18" t="s">
        <v>1059</v>
      </c>
      <c r="C539" s="39" t="s">
        <v>1029</v>
      </c>
      <c r="D539">
        <v>102</v>
      </c>
      <c r="E539" s="15">
        <v>10</v>
      </c>
      <c r="F539" s="42" t="s">
        <v>1243</v>
      </c>
      <c r="G539" s="12">
        <v>3.2457780000000001</v>
      </c>
      <c r="H539">
        <v>4</v>
      </c>
      <c r="I539" s="22" t="s">
        <v>1240</v>
      </c>
      <c r="J539" s="36">
        <v>1</v>
      </c>
      <c r="K539">
        <f t="shared" ref="K539" si="311">COUNTIF(F539:F541,"t")</f>
        <v>3</v>
      </c>
      <c r="L539">
        <f t="shared" ref="L539" si="312">K539-K524</f>
        <v>1</v>
      </c>
    </row>
    <row r="540" spans="1:20" x14ac:dyDescent="0.25">
      <c r="A540" s="29" t="s">
        <v>1030</v>
      </c>
      <c r="B540" s="18" t="s">
        <v>1059</v>
      </c>
      <c r="C540" s="39" t="s">
        <v>1029</v>
      </c>
      <c r="D540">
        <v>102</v>
      </c>
      <c r="E540" s="15">
        <v>10</v>
      </c>
      <c r="F540" s="42" t="s">
        <v>1243</v>
      </c>
      <c r="G540" s="12">
        <v>1.029398</v>
      </c>
      <c r="H540">
        <v>4</v>
      </c>
      <c r="I540" s="22" t="s">
        <v>1240</v>
      </c>
      <c r="J540" s="36">
        <v>1</v>
      </c>
    </row>
    <row r="541" spans="1:20" s="9" customFormat="1" x14ac:dyDescent="0.25">
      <c r="A541" s="30" t="s">
        <v>1031</v>
      </c>
      <c r="B541" s="17" t="s">
        <v>1059</v>
      </c>
      <c r="C541" s="38" t="s">
        <v>1029</v>
      </c>
      <c r="D541" s="9">
        <v>102</v>
      </c>
      <c r="E541" s="14">
        <v>10</v>
      </c>
      <c r="F541" s="41" t="s">
        <v>1243</v>
      </c>
      <c r="G541" s="11">
        <v>0.75833300000000003</v>
      </c>
      <c r="H541" s="9">
        <v>4</v>
      </c>
      <c r="I541" s="23" t="s">
        <v>1240</v>
      </c>
      <c r="J541" s="35">
        <v>1</v>
      </c>
    </row>
    <row r="542" spans="1:20" x14ac:dyDescent="0.25">
      <c r="L542" t="s">
        <v>1267</v>
      </c>
      <c r="M542" s="21">
        <v>-3</v>
      </c>
      <c r="N542" s="21">
        <v>-2</v>
      </c>
      <c r="O542" s="21">
        <v>-1</v>
      </c>
      <c r="P542" s="21">
        <v>0</v>
      </c>
      <c r="Q542" s="21">
        <v>1</v>
      </c>
      <c r="R542" s="21">
        <v>2</v>
      </c>
      <c r="S542" s="21">
        <v>3</v>
      </c>
    </row>
    <row r="543" spans="1:20" x14ac:dyDescent="0.25">
      <c r="B543" s="36" t="s">
        <v>1054</v>
      </c>
      <c r="F543" s="42">
        <f>COUNTIF(F2:F541,"t")</f>
        <v>244</v>
      </c>
      <c r="G543" s="12">
        <f>AVERAGEIFS(G$2:G$541,$B$2:$B$541,$B$543)</f>
        <v>2.4661315555555552</v>
      </c>
      <c r="H543" s="12">
        <f>AVERAGEIFS(H$2:H$541,$B$2:$B$541,$B543)</f>
        <v>13.188888888888888</v>
      </c>
      <c r="I543" s="21">
        <f>COUNTIFS($F$2:$F$541,"t",$B$2:$B$541,B543)</f>
        <v>36</v>
      </c>
      <c r="K543" s="48">
        <f>AVERAGE(K2,K20,K38,K56,K74,K92,K110,K128,K146,K164,K182,K200,K218,K236,K254,K272,K290,K308,K326,K344,K362,K380,K398,K416,K434,K452,K470,K488,K506,K524)</f>
        <v>1.2</v>
      </c>
      <c r="M543" s="21"/>
      <c r="N543" s="21"/>
      <c r="O543" s="21"/>
      <c r="P543" s="21"/>
      <c r="Q543" s="21"/>
      <c r="R543" s="21"/>
      <c r="S543" s="21"/>
    </row>
    <row r="544" spans="1:20" x14ac:dyDescent="0.25">
      <c r="B544" s="36" t="s">
        <v>1055</v>
      </c>
      <c r="G544" s="12">
        <f>AVERAGEIFS($G$2:$G$541,$B$2:$B$541,B544)</f>
        <v>2.2073845888888886</v>
      </c>
      <c r="H544" s="12">
        <f t="shared" ref="H544:H545" si="313">AVERAGEIFS(H$2:H$541,$B$2:$B$541,$B544)</f>
        <v>11.577777777777778</v>
      </c>
      <c r="I544" s="21">
        <f t="shared" ref="I544:I545" si="314">COUNTIFS($F$2:$F$541,"t",$B$2:$B$541,B544)</f>
        <v>33</v>
      </c>
      <c r="K544">
        <f>AVERAGE(K5,K23,K41,K59,K77,K95,K113,K131,K149,K167,K185,K203,K221,K239,K257,K275,K293,K311,K329,K347,K365,K383,K401,K419,K437,K455,K473,K491,K509,K527)</f>
        <v>1.1000000000000001</v>
      </c>
      <c r="L544">
        <f>AVERAGE(L5,L23,L41,L59,L77,L95,L113,L131,L149,L167,L185,L203,L221,L239,L257,L275,L293,L311,L329,L347,L365,L383,L401,L419,L437,L455,L473,L491,L509,L527)</f>
        <v>-0.1</v>
      </c>
      <c r="M544" s="50">
        <f>COUNTIFS($L$2:$L$541,M$542,$B$2:$B$541,$B$544)</f>
        <v>0</v>
      </c>
      <c r="N544" s="50">
        <f t="shared" ref="N544:S544" si="315">COUNTIFS($L$2:$L$541,N$542,$B$2:$B$541,$B$544)</f>
        <v>3</v>
      </c>
      <c r="O544" s="50">
        <f t="shared" si="315"/>
        <v>3</v>
      </c>
      <c r="P544" s="51">
        <f t="shared" si="315"/>
        <v>19</v>
      </c>
      <c r="Q544" s="52">
        <f t="shared" si="315"/>
        <v>4</v>
      </c>
      <c r="R544" s="52">
        <f t="shared" si="315"/>
        <v>1</v>
      </c>
      <c r="S544" s="52">
        <f t="shared" si="315"/>
        <v>0</v>
      </c>
      <c r="T544">
        <f>SUM(M544:S544)</f>
        <v>30</v>
      </c>
    </row>
    <row r="545" spans="2:20" x14ac:dyDescent="0.25">
      <c r="B545" s="36" t="s">
        <v>1056</v>
      </c>
      <c r="G545" s="12">
        <f>AVERAGEIFS($G$2:$G$541,$B$2:$B$541,B545)</f>
        <v>20.323103744444452</v>
      </c>
      <c r="H545" s="12">
        <f t="shared" si="313"/>
        <v>10.533333333333333</v>
      </c>
      <c r="I545" s="21">
        <f t="shared" si="314"/>
        <v>42</v>
      </c>
      <c r="K545" s="49">
        <f>AVERAGE(K8,K26,K44,K62,K80,K98,K116,K134,K152,K170,K188,K206,K224,K242,K260,K278,K296,K314,K332,K350,K368,K386,K404,K422,K440,K458,K476,K494,K512,K530)</f>
        <v>1.4</v>
      </c>
      <c r="L545" s="9">
        <f>AVERAGE(L8,L26,L44,L62,L80,L98,L116,L134,L152,L170,L188,L206,L224,L242,L260,L278,L296,L314,L332,L350,L368,L386,L404,L422,L440,L458,L476,L494,L512,L530)</f>
        <v>0.2</v>
      </c>
      <c r="M545" s="50">
        <f>COUNTIFS($L$2:$L$541,M$542,$B$2:$B$541,$B$545)</f>
        <v>0</v>
      </c>
      <c r="N545" s="50">
        <f t="shared" ref="N545:S545" si="316">COUNTIFS($L$2:$L$541,N$542,$B$2:$B$541,$B$545)</f>
        <v>1</v>
      </c>
      <c r="O545" s="50">
        <f t="shared" si="316"/>
        <v>5</v>
      </c>
      <c r="P545" s="51">
        <f t="shared" si="316"/>
        <v>16</v>
      </c>
      <c r="Q545" s="52">
        <f t="shared" si="316"/>
        <v>4</v>
      </c>
      <c r="R545" s="52">
        <f t="shared" si="316"/>
        <v>3</v>
      </c>
      <c r="S545" s="52">
        <f t="shared" si="316"/>
        <v>1</v>
      </c>
      <c r="T545">
        <f>SUM(M545:S545)</f>
        <v>30</v>
      </c>
    </row>
    <row r="546" spans="2:20" x14ac:dyDescent="0.25">
      <c r="J546" s="36">
        <v>-2</v>
      </c>
      <c r="K546">
        <f>AVERAGEIFS($L$2:$L$541,$J$2:$J$541,J546)</f>
        <v>8.3333333333333329E-2</v>
      </c>
      <c r="M546" s="53">
        <f>COUNTIFS($L$2:$L$541,M$542,$J$2:$J$541,$J$546)</f>
        <v>0</v>
      </c>
      <c r="N546" s="54">
        <f t="shared" ref="N546:S546" si="317">COUNTIFS($L$2:$L$541,N$542,$J$2:$J$541,$J$546)</f>
        <v>1</v>
      </c>
      <c r="O546" s="54">
        <f t="shared" si="317"/>
        <v>0</v>
      </c>
      <c r="P546" s="55">
        <f t="shared" si="317"/>
        <v>9</v>
      </c>
      <c r="Q546" s="56">
        <f t="shared" si="317"/>
        <v>1</v>
      </c>
      <c r="R546" s="56">
        <f t="shared" si="317"/>
        <v>1</v>
      </c>
      <c r="S546" s="57">
        <f t="shared" si="317"/>
        <v>0</v>
      </c>
    </row>
    <row r="547" spans="2:20" x14ac:dyDescent="0.25">
      <c r="J547" s="36">
        <v>-1</v>
      </c>
      <c r="K547">
        <f t="shared" ref="K547:K550" si="318">AVERAGEIFS($L$2:$L$541,$J$2:$J$541,J547)</f>
        <v>0.1111111111111111</v>
      </c>
      <c r="M547" s="58">
        <f>COUNTIFS($L$2:$L$541,M$542,$J$2:$J$541,$J$547)</f>
        <v>0</v>
      </c>
      <c r="N547" s="59">
        <f t="shared" ref="N547:S547" si="319">COUNTIFS($L$2:$L$541,N$542,$J$2:$J$541,$J$547)</f>
        <v>0</v>
      </c>
      <c r="O547" s="59">
        <f t="shared" si="319"/>
        <v>3</v>
      </c>
      <c r="P547" s="60">
        <f t="shared" si="319"/>
        <v>3</v>
      </c>
      <c r="Q547" s="61">
        <f t="shared" si="319"/>
        <v>2</v>
      </c>
      <c r="R547" s="61">
        <f t="shared" si="319"/>
        <v>1</v>
      </c>
      <c r="S547" s="62">
        <f t="shared" si="319"/>
        <v>0</v>
      </c>
    </row>
    <row r="548" spans="2:20" x14ac:dyDescent="0.25">
      <c r="J548" s="36">
        <v>0</v>
      </c>
      <c r="K548">
        <f t="shared" si="318"/>
        <v>0.2</v>
      </c>
      <c r="M548" s="58">
        <f>COUNTIFS($L$2:$L$541,M$542,$J$2:$J$541,$J$548)</f>
        <v>0</v>
      </c>
      <c r="N548" s="59">
        <f t="shared" ref="N548:S548" si="320">COUNTIFS($L$2:$L$541,N$542,$J$2:$J$541,$J$548)</f>
        <v>0</v>
      </c>
      <c r="O548" s="59">
        <f t="shared" si="320"/>
        <v>0</v>
      </c>
      <c r="P548" s="60">
        <f t="shared" si="320"/>
        <v>4</v>
      </c>
      <c r="Q548" s="61">
        <f t="shared" si="320"/>
        <v>1</v>
      </c>
      <c r="R548" s="61">
        <f t="shared" si="320"/>
        <v>0</v>
      </c>
      <c r="S548" s="62">
        <f t="shared" si="320"/>
        <v>0</v>
      </c>
    </row>
    <row r="549" spans="2:20" x14ac:dyDescent="0.25">
      <c r="J549" s="36">
        <v>1</v>
      </c>
      <c r="K549">
        <f t="shared" si="318"/>
        <v>0.43181818181818182</v>
      </c>
      <c r="M549" s="58">
        <f>COUNTIFS($L$2:$L$541,M$542,$J$2:$J$541,$J$549)</f>
        <v>0</v>
      </c>
      <c r="N549" s="59">
        <f t="shared" ref="N549:S549" si="321">COUNTIFS($L$2:$L$541,N$542,$J$2:$J$541,$J$549)</f>
        <v>1</v>
      </c>
      <c r="O549" s="59">
        <f t="shared" si="321"/>
        <v>3</v>
      </c>
      <c r="P549" s="60">
        <f t="shared" si="321"/>
        <v>26</v>
      </c>
      <c r="Q549" s="61">
        <f t="shared" si="321"/>
        <v>7</v>
      </c>
      <c r="R549" s="61">
        <f t="shared" si="321"/>
        <v>4</v>
      </c>
      <c r="S549" s="62">
        <f t="shared" si="321"/>
        <v>3</v>
      </c>
    </row>
    <row r="550" spans="2:20" x14ac:dyDescent="0.25">
      <c r="J550" s="36">
        <v>2</v>
      </c>
      <c r="K550" s="49">
        <f t="shared" si="318"/>
        <v>0.15</v>
      </c>
      <c r="M550" s="63">
        <f>COUNTIFS($L$2:$L$541,M$542,$J$2:$J$541,$J$550)</f>
        <v>0</v>
      </c>
      <c r="N550" s="64">
        <f t="shared" ref="N550:S550" si="322">COUNTIFS($L$2:$L$541,N$542,$J$2:$J$541,$J$550)</f>
        <v>1</v>
      </c>
      <c r="O550" s="64">
        <f t="shared" si="322"/>
        <v>2</v>
      </c>
      <c r="P550" s="65">
        <f>COUNTIFS($L$2:$L$541,P$542,$J$2:$J$541,$J$550)</f>
        <v>13</v>
      </c>
      <c r="Q550" s="66">
        <f t="shared" si="322"/>
        <v>1</v>
      </c>
      <c r="R550" s="66">
        <f t="shared" si="322"/>
        <v>3</v>
      </c>
      <c r="S550" s="67">
        <f t="shared" si="322"/>
        <v>0</v>
      </c>
      <c r="T550">
        <f>SUM(M546:S550)</f>
        <v>90</v>
      </c>
    </row>
    <row r="551" spans="2:20" x14ac:dyDescent="0.25">
      <c r="I551" s="47" t="s">
        <v>1259</v>
      </c>
      <c r="J551" s="36" t="s">
        <v>1064</v>
      </c>
      <c r="K551">
        <f>AVERAGEIFS($L$2:$L$541,$I$2:$I$541,J551)</f>
        <v>0.375</v>
      </c>
      <c r="M551" s="53">
        <f>COUNTIFS($L$2:$L$541,M$542,$I$2:$I$541,$J$551)</f>
        <v>0</v>
      </c>
      <c r="N551" s="54">
        <f t="shared" ref="N551:S551" si="323">COUNTIFS($L$2:$L$541,N$542,$I$2:$I$541,$J$551)</f>
        <v>1</v>
      </c>
      <c r="O551" s="54">
        <f t="shared" si="323"/>
        <v>0</v>
      </c>
      <c r="P551" s="55">
        <f t="shared" si="323"/>
        <v>4</v>
      </c>
      <c r="Q551" s="56">
        <f t="shared" si="323"/>
        <v>1</v>
      </c>
      <c r="R551" s="56">
        <f t="shared" si="323"/>
        <v>2</v>
      </c>
      <c r="S551" s="57">
        <f t="shared" si="323"/>
        <v>0</v>
      </c>
    </row>
    <row r="552" spans="2:20" x14ac:dyDescent="0.25">
      <c r="I552" s="47" t="s">
        <v>1260</v>
      </c>
      <c r="J552" s="36" t="s">
        <v>1063</v>
      </c>
      <c r="K552">
        <f t="shared" ref="K552:K558" si="324">AVERAGEIFS($L$2:$L$541,$I$2:$I$541,J552)</f>
        <v>-9.0909090909090912E-2</v>
      </c>
      <c r="M552" s="58">
        <f>COUNTIFS($L$2:$L$541,M$542,$I$2:$I$541,$J$552)</f>
        <v>0</v>
      </c>
      <c r="N552" s="59">
        <f t="shared" ref="N552:S552" si="325">COUNTIFS($L$2:$L$541,N$542,$I$2:$I$541,$J$552)</f>
        <v>1</v>
      </c>
      <c r="O552" s="59">
        <f t="shared" si="325"/>
        <v>2</v>
      </c>
      <c r="P552" s="60">
        <f t="shared" si="325"/>
        <v>6</v>
      </c>
      <c r="Q552" s="61">
        <f t="shared" si="325"/>
        <v>1</v>
      </c>
      <c r="R552" s="61">
        <f t="shared" si="325"/>
        <v>1</v>
      </c>
      <c r="S552" s="62">
        <f t="shared" si="325"/>
        <v>0</v>
      </c>
    </row>
    <row r="553" spans="2:20" x14ac:dyDescent="0.25">
      <c r="I553" s="47" t="s">
        <v>1261</v>
      </c>
      <c r="J553" s="36" t="s">
        <v>1242</v>
      </c>
      <c r="K553">
        <f t="shared" si="324"/>
        <v>9.0909090909090912E-2</v>
      </c>
      <c r="M553" s="58">
        <f>COUNTIFS($L$2:$L$541,M$542,$I$2:$I$541,$J$553)</f>
        <v>0</v>
      </c>
      <c r="N553" s="59">
        <f t="shared" ref="N553:S553" si="326">COUNTIFS($L$2:$L$541,N$542,$I$2:$I$541,$J$553)</f>
        <v>0</v>
      </c>
      <c r="O553" s="59">
        <f t="shared" si="326"/>
        <v>0</v>
      </c>
      <c r="P553" s="60">
        <f t="shared" si="326"/>
        <v>10</v>
      </c>
      <c r="Q553" s="61">
        <f t="shared" si="326"/>
        <v>1</v>
      </c>
      <c r="R553" s="61">
        <f t="shared" si="326"/>
        <v>0</v>
      </c>
      <c r="S553" s="62">
        <f t="shared" si="326"/>
        <v>0</v>
      </c>
    </row>
    <row r="554" spans="2:20" x14ac:dyDescent="0.25">
      <c r="I554" s="47" t="s">
        <v>1262</v>
      </c>
      <c r="J554" s="36" t="s">
        <v>1239</v>
      </c>
      <c r="K554">
        <f t="shared" si="324"/>
        <v>0.3</v>
      </c>
      <c r="M554" s="58">
        <f>COUNTIFS($L$2:$L$541,M$542,$I$2:$I$541,$J$554)</f>
        <v>0</v>
      </c>
      <c r="N554" s="59">
        <f t="shared" ref="N554:S554" si="327">COUNTIFS($L$2:$L$541,N$542,$I$2:$I$541,$J$554)</f>
        <v>0</v>
      </c>
      <c r="O554" s="59">
        <f t="shared" si="327"/>
        <v>0</v>
      </c>
      <c r="P554" s="60">
        <f t="shared" si="327"/>
        <v>7</v>
      </c>
      <c r="Q554" s="61">
        <f t="shared" si="327"/>
        <v>3</v>
      </c>
      <c r="R554" s="61">
        <f t="shared" si="327"/>
        <v>0</v>
      </c>
      <c r="S554" s="62">
        <f t="shared" si="327"/>
        <v>0</v>
      </c>
    </row>
    <row r="555" spans="2:20" x14ac:dyDescent="0.25">
      <c r="I555" s="47" t="s">
        <v>1263</v>
      </c>
      <c r="J555" s="36" t="s">
        <v>1065</v>
      </c>
      <c r="K555">
        <f t="shared" si="324"/>
        <v>0.2</v>
      </c>
      <c r="M555" s="58">
        <f>COUNTIFS($L$2:$L$541,M$542,$I$2:$I$541,$J$555)</f>
        <v>0</v>
      </c>
      <c r="N555" s="59">
        <f t="shared" ref="N555:S555" si="328">COUNTIFS($L$2:$L$541,N$542,$I$2:$I$541,$J$555)</f>
        <v>0</v>
      </c>
      <c r="O555" s="59">
        <f t="shared" si="328"/>
        <v>1</v>
      </c>
      <c r="P555" s="60">
        <f t="shared" si="328"/>
        <v>7</v>
      </c>
      <c r="Q555" s="61">
        <f t="shared" si="328"/>
        <v>1</v>
      </c>
      <c r="R555" s="61">
        <f t="shared" si="328"/>
        <v>1</v>
      </c>
      <c r="S555" s="62">
        <f t="shared" si="328"/>
        <v>0</v>
      </c>
    </row>
    <row r="556" spans="2:20" x14ac:dyDescent="0.25">
      <c r="I556" s="47" t="s">
        <v>1264</v>
      </c>
      <c r="J556" s="36" t="s">
        <v>1240</v>
      </c>
      <c r="K556">
        <f t="shared" si="324"/>
        <v>3.8461538461538464E-2</v>
      </c>
      <c r="M556" s="58">
        <f>COUNTIFS($L$2:$L$541,M$542,$I$2:$I$541,$J$556)</f>
        <v>0</v>
      </c>
      <c r="N556" s="59">
        <f t="shared" ref="N556:S556" si="329">COUNTIFS($L$2:$L$541,N$542,$I$2:$I$541,$J$556)</f>
        <v>1</v>
      </c>
      <c r="O556" s="59">
        <f t="shared" si="329"/>
        <v>3</v>
      </c>
      <c r="P556" s="60">
        <f t="shared" si="329"/>
        <v>17</v>
      </c>
      <c r="Q556" s="61">
        <f t="shared" si="329"/>
        <v>4</v>
      </c>
      <c r="R556" s="61">
        <f t="shared" si="329"/>
        <v>1</v>
      </c>
      <c r="S556" s="62">
        <f t="shared" si="329"/>
        <v>0</v>
      </c>
    </row>
    <row r="557" spans="2:20" x14ac:dyDescent="0.25">
      <c r="I557" s="47" t="s">
        <v>1265</v>
      </c>
      <c r="J557" s="36" t="s">
        <v>1066</v>
      </c>
      <c r="K557">
        <f t="shared" si="324"/>
        <v>1.0833333333333333</v>
      </c>
      <c r="M557" s="58">
        <f>COUNTIFS($L$2:$L$541,M$542,$I$2:$I$541,$J$557)</f>
        <v>0</v>
      </c>
      <c r="N557" s="59">
        <f t="shared" ref="N557:S557" si="330">COUNTIFS($L$2:$L$541,N$542,$I$2:$I$541,$J$557)</f>
        <v>0</v>
      </c>
      <c r="O557" s="59">
        <f t="shared" si="330"/>
        <v>2</v>
      </c>
      <c r="P557" s="60">
        <f t="shared" si="330"/>
        <v>3</v>
      </c>
      <c r="Q557" s="61">
        <f t="shared" si="330"/>
        <v>1</v>
      </c>
      <c r="R557" s="61">
        <f t="shared" si="330"/>
        <v>4</v>
      </c>
      <c r="S557" s="62">
        <f t="shared" si="330"/>
        <v>2</v>
      </c>
    </row>
    <row r="558" spans="2:20" x14ac:dyDescent="0.25">
      <c r="I558" s="47" t="s">
        <v>1266</v>
      </c>
      <c r="J558" s="36" t="s">
        <v>1241</v>
      </c>
      <c r="K558">
        <f t="shared" si="324"/>
        <v>1.5</v>
      </c>
      <c r="M558" s="63">
        <f>COUNTIFS($L$2:$L$541,M$542,$I$2:$I$541,$J$558)</f>
        <v>0</v>
      </c>
      <c r="N558" s="64">
        <f t="shared" ref="N558:S558" si="331">COUNTIFS($L$2:$L$541,N$542,$I$2:$I$541,$J$558)</f>
        <v>0</v>
      </c>
      <c r="O558" s="64">
        <f t="shared" si="331"/>
        <v>0</v>
      </c>
      <c r="P558" s="65">
        <f t="shared" si="331"/>
        <v>1</v>
      </c>
      <c r="Q558" s="66">
        <f t="shared" si="331"/>
        <v>0</v>
      </c>
      <c r="R558" s="66">
        <f t="shared" si="331"/>
        <v>0</v>
      </c>
      <c r="S558" s="67">
        <f t="shared" si="331"/>
        <v>1</v>
      </c>
      <c r="T558">
        <f>SUM(M551:S558)</f>
        <v>90</v>
      </c>
    </row>
  </sheetData>
  <conditionalFormatting sqref="F1:F1048576">
    <cfRule type="beginsWith" dxfId="1" priority="1" operator="beginsWith" text="f">
      <formula>LEFT(F1,LEN("f"))="f"</formula>
    </cfRule>
    <cfRule type="beginsWith" dxfId="0" priority="2" operator="beginsWith" text="t">
      <formula>LEFT(F1,LEN("t"))="t"</formula>
    </cfRule>
  </conditionalFormatting>
  <pageMargins left="0.7" right="0.7" top="0.75" bottom="0.75" header="0.3" footer="0.3"/>
  <pageSetup orientation="portrait" horizontalDpi="4294967293" verticalDpi="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64F0ED-EA02-4BC9-AA17-4271BDEF3BC5}">
  <dimension ref="A1:M31"/>
  <sheetViews>
    <sheetView workbookViewId="0">
      <selection activeCell="L11" sqref="L11"/>
    </sheetView>
  </sheetViews>
  <sheetFormatPr defaultRowHeight="15" x14ac:dyDescent="0.25"/>
  <cols>
    <col min="1" max="1" width="40.140625" customWidth="1"/>
    <col min="2" max="2" width="16" customWidth="1"/>
  </cols>
  <sheetData>
    <row r="1" spans="1:13" ht="15.75" thickBot="1" x14ac:dyDescent="0.3">
      <c r="A1" s="1" t="s">
        <v>1230</v>
      </c>
      <c r="B1" s="1" t="s">
        <v>1231</v>
      </c>
      <c r="C1" s="1" t="s">
        <v>1232</v>
      </c>
      <c r="D1" s="1" t="s">
        <v>1233</v>
      </c>
      <c r="E1" s="2" t="s">
        <v>1234</v>
      </c>
      <c r="F1" s="1"/>
      <c r="G1" s="1" t="s">
        <v>1235</v>
      </c>
      <c r="H1" s="1" t="s">
        <v>1236</v>
      </c>
      <c r="I1" s="1" t="s">
        <v>1237</v>
      </c>
      <c r="J1" s="8" t="s">
        <v>1238</v>
      </c>
      <c r="K1" s="1"/>
      <c r="L1" s="1"/>
      <c r="M1" s="1"/>
    </row>
    <row r="2" spans="1:13" ht="15.75" thickBot="1" x14ac:dyDescent="0.3">
      <c r="A2" s="1" t="s">
        <v>1067</v>
      </c>
      <c r="B2" s="1" t="s">
        <v>1068</v>
      </c>
      <c r="C2" s="1" t="s">
        <v>1069</v>
      </c>
      <c r="D2" s="1" t="s">
        <v>1070</v>
      </c>
      <c r="E2" s="2" t="s">
        <v>1071</v>
      </c>
      <c r="F2" s="1" t="s">
        <v>1062</v>
      </c>
      <c r="G2" s="1" t="s">
        <v>1072</v>
      </c>
      <c r="H2" s="1" t="s">
        <v>1073</v>
      </c>
    </row>
    <row r="3" spans="1:13" ht="15.75" thickBot="1" x14ac:dyDescent="0.3">
      <c r="A3" s="1" t="s">
        <v>1074</v>
      </c>
      <c r="B3" s="1" t="s">
        <v>1068</v>
      </c>
      <c r="C3" s="1" t="s">
        <v>1070</v>
      </c>
      <c r="D3" s="1" t="s">
        <v>1075</v>
      </c>
      <c r="E3" s="2" t="s">
        <v>1076</v>
      </c>
      <c r="F3" s="1" t="s">
        <v>1072</v>
      </c>
      <c r="G3" s="1" t="s">
        <v>1077</v>
      </c>
      <c r="H3" s="1" t="s">
        <v>1078</v>
      </c>
    </row>
    <row r="4" spans="1:13" ht="15.75" thickBot="1" x14ac:dyDescent="0.3">
      <c r="A4" s="1" t="s">
        <v>1079</v>
      </c>
      <c r="B4" s="1" t="s">
        <v>1080</v>
      </c>
      <c r="C4" s="1" t="s">
        <v>1081</v>
      </c>
      <c r="D4" s="1" t="s">
        <v>1082</v>
      </c>
      <c r="E4" s="2" t="s">
        <v>1083</v>
      </c>
      <c r="F4" s="1" t="s">
        <v>1062</v>
      </c>
      <c r="G4" s="1" t="s">
        <v>1084</v>
      </c>
      <c r="H4" s="1" t="s">
        <v>1085</v>
      </c>
    </row>
    <row r="5" spans="1:13" ht="15.75" thickBot="1" x14ac:dyDescent="0.3">
      <c r="A5" s="1" t="s">
        <v>1086</v>
      </c>
      <c r="B5" s="1" t="s">
        <v>1087</v>
      </c>
      <c r="C5" s="1" t="s">
        <v>1088</v>
      </c>
      <c r="D5" s="1" t="s">
        <v>1089</v>
      </c>
      <c r="E5" s="2" t="s">
        <v>1090</v>
      </c>
      <c r="F5" s="1" t="s">
        <v>1077</v>
      </c>
      <c r="G5" s="1" t="s">
        <v>1072</v>
      </c>
      <c r="H5" s="1" t="s">
        <v>1077</v>
      </c>
    </row>
    <row r="6" spans="1:13" ht="15.75" thickBot="1" x14ac:dyDescent="0.3">
      <c r="A6" s="1" t="s">
        <v>1091</v>
      </c>
      <c r="B6" s="1" t="s">
        <v>1092</v>
      </c>
      <c r="C6" s="1" t="s">
        <v>1093</v>
      </c>
      <c r="D6" s="1" t="s">
        <v>1094</v>
      </c>
      <c r="E6" s="2" t="s">
        <v>1095</v>
      </c>
      <c r="F6" s="1" t="s">
        <v>1078</v>
      </c>
      <c r="G6" s="1" t="s">
        <v>1073</v>
      </c>
      <c r="H6" s="1" t="s">
        <v>1096</v>
      </c>
    </row>
    <row r="7" spans="1:13" ht="15.75" thickBot="1" x14ac:dyDescent="0.3">
      <c r="A7" s="1" t="s">
        <v>1097</v>
      </c>
      <c r="B7" s="1" t="s">
        <v>1098</v>
      </c>
      <c r="C7" s="1" t="s">
        <v>1099</v>
      </c>
      <c r="D7" s="1" t="s">
        <v>1100</v>
      </c>
      <c r="E7" s="2" t="s">
        <v>1101</v>
      </c>
      <c r="F7" s="1" t="s">
        <v>1078</v>
      </c>
      <c r="G7" s="1" t="s">
        <v>1085</v>
      </c>
      <c r="H7" s="1" t="s">
        <v>1072</v>
      </c>
    </row>
    <row r="8" spans="1:13" ht="15.75" thickBot="1" x14ac:dyDescent="0.3">
      <c r="A8" s="1" t="s">
        <v>1102</v>
      </c>
      <c r="B8" s="1" t="s">
        <v>1103</v>
      </c>
      <c r="C8" s="1" t="s">
        <v>1104</v>
      </c>
      <c r="D8" s="1" t="s">
        <v>1105</v>
      </c>
      <c r="E8" s="2" t="s">
        <v>1106</v>
      </c>
      <c r="F8" s="1" t="s">
        <v>1077</v>
      </c>
      <c r="G8" s="1" t="s">
        <v>1062</v>
      </c>
      <c r="H8" s="1" t="s">
        <v>1107</v>
      </c>
    </row>
    <row r="9" spans="1:13" ht="15.75" thickBot="1" x14ac:dyDescent="0.3">
      <c r="A9" s="1" t="s">
        <v>1108</v>
      </c>
      <c r="B9" s="1" t="s">
        <v>1109</v>
      </c>
      <c r="C9" s="1" t="s">
        <v>1110</v>
      </c>
      <c r="D9" s="1" t="s">
        <v>1111</v>
      </c>
      <c r="E9" s="2" t="s">
        <v>1112</v>
      </c>
      <c r="F9" s="1" t="s">
        <v>1113</v>
      </c>
      <c r="G9" s="1" t="s">
        <v>1073</v>
      </c>
      <c r="H9" s="1" t="s">
        <v>1073</v>
      </c>
    </row>
    <row r="10" spans="1:13" ht="15.75" thickBot="1" x14ac:dyDescent="0.3">
      <c r="A10" s="1" t="s">
        <v>1114</v>
      </c>
      <c r="B10" s="1" t="s">
        <v>1115</v>
      </c>
      <c r="C10" s="1" t="s">
        <v>1116</v>
      </c>
      <c r="D10" s="1" t="s">
        <v>1117</v>
      </c>
      <c r="E10" s="2" t="s">
        <v>1118</v>
      </c>
      <c r="F10" s="1" t="s">
        <v>1072</v>
      </c>
      <c r="G10" s="1" t="s">
        <v>1085</v>
      </c>
      <c r="H10" s="1" t="s">
        <v>1119</v>
      </c>
    </row>
    <row r="11" spans="1:13" ht="15.75" thickBot="1" x14ac:dyDescent="0.3">
      <c r="A11" s="1" t="s">
        <v>1120</v>
      </c>
      <c r="B11" s="1" t="s">
        <v>1121</v>
      </c>
      <c r="C11" s="1" t="s">
        <v>1122</v>
      </c>
      <c r="D11" s="1" t="s">
        <v>1123</v>
      </c>
      <c r="E11" s="2" t="s">
        <v>1124</v>
      </c>
      <c r="F11" s="1" t="s">
        <v>1125</v>
      </c>
      <c r="G11" s="1" t="s">
        <v>1126</v>
      </c>
      <c r="H11" s="1" t="s">
        <v>1107</v>
      </c>
    </row>
    <row r="12" spans="1:13" ht="15.75" thickBot="1" x14ac:dyDescent="0.3">
      <c r="A12" s="1" t="s">
        <v>1127</v>
      </c>
      <c r="B12" s="1" t="s">
        <v>1128</v>
      </c>
      <c r="C12" s="1" t="s">
        <v>1129</v>
      </c>
      <c r="D12" s="1" t="s">
        <v>1130</v>
      </c>
      <c r="E12" s="2" t="s">
        <v>1131</v>
      </c>
      <c r="F12" s="1" t="s">
        <v>1125</v>
      </c>
      <c r="G12" s="1" t="s">
        <v>1078</v>
      </c>
      <c r="H12" s="1" t="s">
        <v>1085</v>
      </c>
    </row>
    <row r="13" spans="1:13" ht="15.75" thickBot="1" x14ac:dyDescent="0.3">
      <c r="A13" s="1" t="s">
        <v>1132</v>
      </c>
      <c r="B13" s="1" t="s">
        <v>1133</v>
      </c>
      <c r="C13" s="1" t="s">
        <v>1134</v>
      </c>
      <c r="D13" s="1" t="s">
        <v>1135</v>
      </c>
      <c r="E13" s="2" t="s">
        <v>1136</v>
      </c>
      <c r="F13" s="1" t="s">
        <v>1137</v>
      </c>
      <c r="G13" s="1" t="s">
        <v>1138</v>
      </c>
      <c r="H13" s="1" t="s">
        <v>1139</v>
      </c>
    </row>
    <row r="14" spans="1:13" ht="15.75" thickBot="1" x14ac:dyDescent="0.3">
      <c r="A14" s="1" t="s">
        <v>1140</v>
      </c>
      <c r="B14" s="1" t="s">
        <v>1141</v>
      </c>
      <c r="C14" s="1" t="s">
        <v>1142</v>
      </c>
      <c r="D14" s="1" t="s">
        <v>1143</v>
      </c>
      <c r="E14" s="2" t="s">
        <v>1144</v>
      </c>
      <c r="F14" s="1" t="s">
        <v>1145</v>
      </c>
      <c r="G14" s="1" t="s">
        <v>1138</v>
      </c>
      <c r="H14" s="1" t="s">
        <v>1138</v>
      </c>
    </row>
    <row r="15" spans="1:13" ht="15.75" thickBot="1" x14ac:dyDescent="0.3">
      <c r="A15" s="1" t="s">
        <v>1146</v>
      </c>
      <c r="B15" s="1" t="s">
        <v>1147</v>
      </c>
      <c r="C15" s="1" t="s">
        <v>1148</v>
      </c>
      <c r="D15" s="1" t="s">
        <v>1149</v>
      </c>
      <c r="E15" s="2" t="s">
        <v>1150</v>
      </c>
      <c r="F15" s="1" t="s">
        <v>1078</v>
      </c>
      <c r="G15" s="1" t="s">
        <v>1138</v>
      </c>
      <c r="H15" s="1" t="s">
        <v>1139</v>
      </c>
    </row>
    <row r="16" spans="1:13" ht="15.75" thickBot="1" x14ac:dyDescent="0.3">
      <c r="A16" s="1" t="s">
        <v>1151</v>
      </c>
      <c r="B16" s="1" t="s">
        <v>1152</v>
      </c>
      <c r="C16" s="1" t="s">
        <v>1153</v>
      </c>
      <c r="D16" s="1" t="s">
        <v>1154</v>
      </c>
      <c r="E16" s="2" t="s">
        <v>1155</v>
      </c>
      <c r="F16" s="1" t="s">
        <v>1072</v>
      </c>
      <c r="G16" s="1" t="s">
        <v>1078</v>
      </c>
      <c r="H16" s="1" t="s">
        <v>1078</v>
      </c>
    </row>
    <row r="17" spans="1:8" ht="15.75" thickBot="1" x14ac:dyDescent="0.3">
      <c r="A17" s="1" t="s">
        <v>1156</v>
      </c>
      <c r="B17" s="1" t="s">
        <v>1157</v>
      </c>
      <c r="C17" s="1" t="s">
        <v>1158</v>
      </c>
      <c r="D17" s="1" t="s">
        <v>1159</v>
      </c>
      <c r="E17" s="2" t="s">
        <v>1160</v>
      </c>
      <c r="F17" s="1" t="s">
        <v>1119</v>
      </c>
      <c r="G17" s="1" t="s">
        <v>1137</v>
      </c>
      <c r="H17" s="1" t="s">
        <v>1138</v>
      </c>
    </row>
    <row r="18" spans="1:8" ht="15.75" thickBot="1" x14ac:dyDescent="0.3">
      <c r="A18" s="1" t="s">
        <v>1161</v>
      </c>
      <c r="B18" s="1" t="s">
        <v>1157</v>
      </c>
      <c r="C18" s="1" t="s">
        <v>1162</v>
      </c>
      <c r="D18" s="1" t="s">
        <v>1163</v>
      </c>
      <c r="E18" s="2" t="s">
        <v>1164</v>
      </c>
      <c r="F18" s="1" t="s">
        <v>1077</v>
      </c>
      <c r="G18" s="1" t="s">
        <v>1138</v>
      </c>
      <c r="H18" s="1" t="s">
        <v>1138</v>
      </c>
    </row>
    <row r="19" spans="1:8" ht="15.75" thickBot="1" x14ac:dyDescent="0.3">
      <c r="A19" s="1" t="s">
        <v>1165</v>
      </c>
      <c r="B19" s="1" t="s">
        <v>1166</v>
      </c>
      <c r="C19" s="1" t="s">
        <v>1167</v>
      </c>
      <c r="D19" s="1" t="s">
        <v>1168</v>
      </c>
      <c r="E19" s="2" t="s">
        <v>1169</v>
      </c>
      <c r="F19" s="1" t="s">
        <v>1077</v>
      </c>
      <c r="G19" s="1" t="s">
        <v>1138</v>
      </c>
      <c r="H19" s="1" t="s">
        <v>1119</v>
      </c>
    </row>
    <row r="20" spans="1:8" ht="15.75" thickBot="1" x14ac:dyDescent="0.3">
      <c r="A20" s="1" t="s">
        <v>1170</v>
      </c>
      <c r="B20" s="1" t="s">
        <v>1171</v>
      </c>
      <c r="C20" s="1" t="s">
        <v>1172</v>
      </c>
      <c r="D20" s="1" t="s">
        <v>1173</v>
      </c>
      <c r="E20" s="2" t="s">
        <v>1174</v>
      </c>
      <c r="F20" s="1" t="s">
        <v>1126</v>
      </c>
      <c r="G20" s="1" t="s">
        <v>1138</v>
      </c>
      <c r="H20" s="1" t="s">
        <v>1119</v>
      </c>
    </row>
    <row r="21" spans="1:8" ht="15.75" thickBot="1" x14ac:dyDescent="0.3">
      <c r="A21" s="1" t="s">
        <v>1175</v>
      </c>
      <c r="B21" s="1" t="s">
        <v>1176</v>
      </c>
      <c r="C21" s="1" t="s">
        <v>1177</v>
      </c>
      <c r="D21" s="1" t="s">
        <v>1178</v>
      </c>
      <c r="E21" s="2" t="s">
        <v>1179</v>
      </c>
      <c r="F21" s="1" t="s">
        <v>1077</v>
      </c>
      <c r="G21" s="1" t="s">
        <v>1138</v>
      </c>
      <c r="H21" s="1" t="s">
        <v>1180</v>
      </c>
    </row>
    <row r="22" spans="1:8" ht="15.75" thickBot="1" x14ac:dyDescent="0.3">
      <c r="A22" s="1" t="s">
        <v>1181</v>
      </c>
      <c r="B22" s="1" t="s">
        <v>1182</v>
      </c>
      <c r="C22" s="1" t="s">
        <v>1183</v>
      </c>
      <c r="D22" s="1" t="s">
        <v>1184</v>
      </c>
      <c r="E22" s="2" t="s">
        <v>1185</v>
      </c>
      <c r="F22" s="1" t="s">
        <v>1078</v>
      </c>
      <c r="G22" s="1" t="s">
        <v>1119</v>
      </c>
      <c r="H22" s="1" t="s">
        <v>1138</v>
      </c>
    </row>
    <row r="23" spans="1:8" ht="15.75" thickBot="1" x14ac:dyDescent="0.3">
      <c r="A23" s="3" t="s">
        <v>1186</v>
      </c>
      <c r="B23" s="3" t="s">
        <v>1187</v>
      </c>
      <c r="C23" s="3" t="s">
        <v>1188</v>
      </c>
      <c r="D23" s="3" t="s">
        <v>1189</v>
      </c>
      <c r="E23" s="4" t="s">
        <v>1190</v>
      </c>
      <c r="F23" s="3" t="s">
        <v>1073</v>
      </c>
      <c r="G23" s="3" t="s">
        <v>1125</v>
      </c>
      <c r="H23" s="3" t="s">
        <v>1119</v>
      </c>
    </row>
    <row r="24" spans="1:8" ht="15.75" thickBot="1" x14ac:dyDescent="0.3">
      <c r="A24" s="1" t="s">
        <v>1191</v>
      </c>
      <c r="B24" s="1" t="s">
        <v>1192</v>
      </c>
      <c r="C24" s="1" t="s">
        <v>1193</v>
      </c>
      <c r="D24" s="1" t="s">
        <v>1194</v>
      </c>
      <c r="E24" s="2" t="s">
        <v>1195</v>
      </c>
      <c r="F24" s="1" t="s">
        <v>1062</v>
      </c>
      <c r="G24" s="1" t="s">
        <v>1138</v>
      </c>
      <c r="H24" s="1" t="s">
        <v>1138</v>
      </c>
    </row>
    <row r="25" spans="1:8" ht="15.75" thickBot="1" x14ac:dyDescent="0.3">
      <c r="A25" s="1" t="s">
        <v>1196</v>
      </c>
      <c r="B25" s="1" t="s">
        <v>1197</v>
      </c>
      <c r="C25" s="1" t="s">
        <v>1198</v>
      </c>
      <c r="D25" s="1" t="s">
        <v>1199</v>
      </c>
      <c r="E25" s="2" t="s">
        <v>1200</v>
      </c>
      <c r="F25" s="1" t="s">
        <v>1073</v>
      </c>
      <c r="G25" s="1" t="s">
        <v>1138</v>
      </c>
      <c r="H25" s="1" t="s">
        <v>1138</v>
      </c>
    </row>
    <row r="26" spans="1:8" ht="15.75" thickBot="1" x14ac:dyDescent="0.3">
      <c r="A26" s="1" t="s">
        <v>1201</v>
      </c>
      <c r="B26" s="1" t="s">
        <v>1202</v>
      </c>
      <c r="C26" s="1" t="s">
        <v>1203</v>
      </c>
      <c r="D26" s="1" t="s">
        <v>1204</v>
      </c>
      <c r="E26" s="2" t="s">
        <v>1205</v>
      </c>
      <c r="F26" s="1" t="s">
        <v>1119</v>
      </c>
      <c r="G26" s="1" t="s">
        <v>1138</v>
      </c>
      <c r="H26" s="1" t="s">
        <v>1138</v>
      </c>
    </row>
    <row r="27" spans="1:8" ht="15.75" thickBot="1" x14ac:dyDescent="0.3">
      <c r="A27" s="1" t="s">
        <v>1206</v>
      </c>
      <c r="B27" s="1" t="s">
        <v>1207</v>
      </c>
      <c r="C27" s="1" t="s">
        <v>1208</v>
      </c>
      <c r="D27" s="1" t="s">
        <v>1209</v>
      </c>
      <c r="E27" s="2" t="s">
        <v>1210</v>
      </c>
      <c r="F27" s="1" t="s">
        <v>1077</v>
      </c>
      <c r="G27" s="1" t="s">
        <v>1138</v>
      </c>
      <c r="H27" s="1" t="s">
        <v>1138</v>
      </c>
    </row>
    <row r="28" spans="1:8" ht="15.75" thickBot="1" x14ac:dyDescent="0.3">
      <c r="A28" s="1" t="s">
        <v>1211</v>
      </c>
      <c r="B28" s="1" t="s">
        <v>1212</v>
      </c>
      <c r="C28" s="1" t="s">
        <v>1213</v>
      </c>
      <c r="D28" s="1" t="s">
        <v>1214</v>
      </c>
      <c r="E28" s="2" t="s">
        <v>1215</v>
      </c>
      <c r="F28" s="1" t="s">
        <v>1078</v>
      </c>
      <c r="G28" s="1" t="s">
        <v>1138</v>
      </c>
      <c r="H28" s="1" t="s">
        <v>1138</v>
      </c>
    </row>
    <row r="29" spans="1:8" ht="15.75" thickBot="1" x14ac:dyDescent="0.3">
      <c r="A29" s="5" t="s">
        <v>1216</v>
      </c>
      <c r="B29" s="5" t="s">
        <v>1217</v>
      </c>
      <c r="C29" s="5" t="s">
        <v>1218</v>
      </c>
      <c r="D29" s="5" t="s">
        <v>1219</v>
      </c>
      <c r="E29" s="6" t="s">
        <v>1220</v>
      </c>
      <c r="F29" s="5" t="s">
        <v>1125</v>
      </c>
      <c r="G29" s="5" t="s">
        <v>1119</v>
      </c>
      <c r="H29" s="5" t="s">
        <v>1119</v>
      </c>
    </row>
    <row r="30" spans="1:8" ht="15.75" thickBot="1" x14ac:dyDescent="0.3">
      <c r="A30" s="5" t="s">
        <v>1221</v>
      </c>
      <c r="B30" s="5" t="s">
        <v>1222</v>
      </c>
      <c r="C30" s="5" t="s">
        <v>1223</v>
      </c>
      <c r="D30" s="5" t="s">
        <v>1224</v>
      </c>
      <c r="E30" s="6" t="s">
        <v>1225</v>
      </c>
      <c r="F30" s="5" t="s">
        <v>1145</v>
      </c>
      <c r="G30" s="5" t="s">
        <v>1078</v>
      </c>
      <c r="H30" s="5" t="s">
        <v>1125</v>
      </c>
    </row>
    <row r="31" spans="1:8" ht="15.75" thickBot="1" x14ac:dyDescent="0.3">
      <c r="A31" s="1" t="s">
        <v>1226</v>
      </c>
      <c r="B31" s="7">
        <v>10</v>
      </c>
      <c r="C31" s="1" t="s">
        <v>1227</v>
      </c>
      <c r="D31" s="1" t="s">
        <v>1228</v>
      </c>
      <c r="E31" s="2" t="s">
        <v>1229</v>
      </c>
      <c r="F31" s="1" t="s">
        <v>1138</v>
      </c>
      <c r="G31" s="1" t="s">
        <v>1073</v>
      </c>
      <c r="H31" s="1" t="s">
        <v>1138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dataset3</vt:lpstr>
      <vt:lpstr>Hints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Punny Master</cp:lastModifiedBy>
  <dcterms:created xsi:type="dcterms:W3CDTF">2025-12-16T20:50:33Z</dcterms:created>
  <dcterms:modified xsi:type="dcterms:W3CDTF">2026-08-31T04:05:50Z</dcterms:modified>
</cp:coreProperties>
</file>